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genindia-my.sharepoint.com/personal/rishabh-mittal_newgensoft_com/Documents/Desktop/AI Models/Agentic Mobile app/"/>
    </mc:Choice>
  </mc:AlternateContent>
  <xr:revisionPtr revIDLastSave="3629" documentId="8_{F38F8B78-A7AD-4B22-AD89-FC4C7A500F73}" xr6:coauthVersionLast="47" xr6:coauthVersionMax="47" xr10:uidLastSave="{98522055-9A38-49CA-962C-BC6FBCB9BABA}"/>
  <bookViews>
    <workbookView xWindow="-120" yWindow="-120" windowWidth="20730" windowHeight="11040" firstSheet="2" activeTab="6" xr2:uid="{32EF47CC-1363-439A-9A94-1E403E46C7ED}"/>
  </bookViews>
  <sheets>
    <sheet name="Process Flow" sheetId="2" r:id="rId1"/>
    <sheet name="Field Requirements" sheetId="7" r:id="rId2"/>
    <sheet name="Customer Master" sheetId="4" r:id="rId3"/>
    <sheet name="Formula" sheetId="5" r:id="rId4"/>
    <sheet name="IBAN Master" sheetId="6" r:id="rId5"/>
    <sheet name="Dropdown Values" sheetId="9" r:id="rId6"/>
    <sheet name="Master Data, Questions" sheetId="10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  <c r="O7" i="5"/>
  <c r="O5" i="5"/>
</calcChain>
</file>

<file path=xl/sharedStrings.xml><?xml version="1.0" encoding="utf-8"?>
<sst xmlns="http://schemas.openxmlformats.org/spreadsheetml/2006/main" count="339" uniqueCount="234">
  <si>
    <t>↓</t>
  </si>
  <si>
    <t>[15] Initiate Commodity transaction</t>
  </si>
  <si>
    <t>[18] Send documents for e-signing</t>
  </si>
  <si>
    <t>[17] Generate Contract &amp; Promissory Note</t>
  </si>
  <si>
    <t>[3.1] System push NAFATH notification to customer mobile</t>
  </si>
  <si>
    <t>[5] Explain the high level journey to Customer (5-steps)</t>
  </si>
  <si>
    <t>[6] Populate Personal Details, Employment details, Income details &amp; check if info is correct</t>
  </si>
  <si>
    <t>[8] Take customer consent to fetch Bureau records (SIMAH)</t>
  </si>
  <si>
    <t>[9] Initiate Eligibility check (Run Due-Diligence &amp; Regulatory checks)</t>
  </si>
  <si>
    <t>[10] Populate maximum Eligible amount &amp; Eligibility status</t>
  </si>
  <si>
    <t>[11] Ask customer if the maximum amount is okay or wants more?</t>
  </si>
  <si>
    <t>[13] Ask customer confirmation for the selected amount</t>
  </si>
  <si>
    <t>[14.1] Customer selects okay for the selection</t>
  </si>
  <si>
    <t>[16] Generate commodity certificate (Provide option to download)</t>
  </si>
  <si>
    <t>[20] IBAN validation (Populate IBAN, Bank name &amp; Beneficiary Name)</t>
  </si>
  <si>
    <t>[21] Populate Summary of the application</t>
  </si>
  <si>
    <t>[22] Get customer consent over IVR call</t>
  </si>
  <si>
    <t>[12] Ask customer to select desired finance amount &amp; tenure using slider</t>
  </si>
  <si>
    <t>Mobile Application Process</t>
  </si>
  <si>
    <t>Personal Finance Process Flowchart</t>
  </si>
  <si>
    <t>[4] System runs dedupe to find ETB or NTB</t>
  </si>
  <si>
    <t>[3.2] Customer approves NAFATH request</t>
  </si>
  <si>
    <t>[23] Disburse the Finance &amp; Generate workitems</t>
  </si>
  <si>
    <t>Populate Pre Approved offer for ETB customer</t>
  </si>
  <si>
    <t>[10] Populate Pre Approved amount &amp; Eligibility status</t>
  </si>
  <si>
    <t>[12] Ask customer to select desired finance amount &amp; tenure using slider (max amount to be set as Pre Approved Offer amount)</t>
  </si>
  <si>
    <t xml:space="preserve">↓ </t>
  </si>
  <si>
    <t>[24]Create Workitem and send the case to Backoffice. 
Populate message that a RM from branch would connect with you for further processing</t>
  </si>
  <si>
    <r>
      <t>In the customer details card, Build 4 subsections-</t>
    </r>
    <r>
      <rPr>
        <sz val="11"/>
        <color theme="4"/>
        <rFont val="Aptos Narrow"/>
        <family val="2"/>
        <scheme val="minor"/>
      </rPr>
      <t xml:space="preserve"> </t>
    </r>
    <r>
      <rPr>
        <b/>
        <sz val="11"/>
        <color theme="4"/>
        <rFont val="Aptos Narrow"/>
        <family val="2"/>
        <scheme val="minor"/>
      </rPr>
      <t>Personal Details, Address Details, Employment Details, Income Details</t>
    </r>
    <r>
      <rPr>
        <b/>
        <sz val="11"/>
        <color theme="1"/>
        <rFont val="Aptos Narrow"/>
        <family val="2"/>
        <scheme val="minor"/>
      </rPr>
      <t xml:space="preserve">.
Customer selects </t>
    </r>
    <r>
      <rPr>
        <b/>
        <sz val="11"/>
        <color rgb="FFFF0000"/>
        <rFont val="Aptos Narrow"/>
        <family val="2"/>
        <scheme val="minor"/>
      </rPr>
      <t>Modify/ Not correct</t>
    </r>
    <r>
      <rPr>
        <sz val="11"/>
        <color theme="1"/>
        <rFont val="Aptos Narrow"/>
        <family val="2"/>
        <scheme val="minor"/>
      </rPr>
      <t xml:space="preserve">, then ask which details to be modified (populate 4 subsection options)
*Customer selects:
</t>
    </r>
    <r>
      <rPr>
        <b/>
        <sz val="11"/>
        <color theme="4"/>
        <rFont val="Aptos Narrow"/>
        <family val="2"/>
        <scheme val="minor"/>
      </rPr>
      <t>Personal Details</t>
    </r>
    <r>
      <rPr>
        <sz val="11"/>
        <color theme="1"/>
        <rFont val="Aptos Narrow"/>
        <family val="2"/>
        <scheme val="minor"/>
      </rPr>
      <t xml:space="preserve">- Highligh the fields that can be modified.
</t>
    </r>
    <r>
      <rPr>
        <b/>
        <sz val="11"/>
        <color theme="4"/>
        <rFont val="Aptos Narrow"/>
        <family val="2"/>
        <scheme val="minor"/>
      </rPr>
      <t>Address Details</t>
    </r>
    <r>
      <rPr>
        <sz val="11"/>
        <color theme="1"/>
        <rFont val="Aptos Narrow"/>
        <family val="2"/>
        <scheme val="minor"/>
      </rPr>
      <t xml:space="preserve">- Ask Modify Address/ Add New address
</t>
    </r>
    <r>
      <rPr>
        <b/>
        <sz val="11"/>
        <color theme="4"/>
        <rFont val="Aptos Narrow"/>
        <family val="2"/>
        <scheme val="minor"/>
      </rPr>
      <t>Employment Details</t>
    </r>
    <r>
      <rPr>
        <sz val="11"/>
        <color theme="1"/>
        <rFont val="Aptos Narrow"/>
        <family val="2"/>
        <scheme val="minor"/>
      </rPr>
      <t xml:space="preserve">- Highligh the fields that can be modified and ask for Document upload to verify
</t>
    </r>
    <r>
      <rPr>
        <b/>
        <sz val="11"/>
        <color theme="4"/>
        <rFont val="Aptos Narrow"/>
        <family val="2"/>
        <scheme val="minor"/>
      </rPr>
      <t>Income Details</t>
    </r>
    <r>
      <rPr>
        <sz val="11"/>
        <color theme="1"/>
        <rFont val="Aptos Narrow"/>
        <family val="2"/>
        <scheme val="minor"/>
      </rPr>
      <t>- Ask to enter "Updated Income". And provide 2 options- Upload Bank Statement, Open Banking</t>
    </r>
  </si>
  <si>
    <t>Id number (ETB)- 1046403930
Id number (NTB)- 1046403940</t>
  </si>
  <si>
    <t>Name (ETB)- Abdul Rahman
Name (NTB)- Faisal Rahman</t>
  </si>
  <si>
    <t>Contact Number (ETB)- 5114881234
Contact Number (NTB)- 5114886789</t>
  </si>
  <si>
    <t>Address Line 1(ETB)- Villa 12, Al Malaz Residential Compound
Address Line 1(NTB)-Villa 13, Al Malaz Residential Compound</t>
  </si>
  <si>
    <t>Address Line 2(ETB)- Near Prince Faisal Bin Fahd Stadium
Address Line 2(NTB)- Near Prince Faisal Bin Fahd Stadium</t>
  </si>
  <si>
    <t>Street (ETB)-Al Jamiah Street
Street (NTB)-Al Jamiah Street</t>
  </si>
  <si>
    <t>Postal code (ETB &amp; NTB)- 12836</t>
  </si>
  <si>
    <t>Work Address- Kingdom Tower, Office 1205</t>
  </si>
  <si>
    <t>Work City- Riyadh</t>
  </si>
  <si>
    <t>Work Post code- 12214</t>
  </si>
  <si>
    <t>Formula</t>
  </si>
  <si>
    <t>Eligible Amount=  [(Monthly Income × Max DBR%) − Monthly Obligations − (Credit Card Limit × % Factor)] * Tenure in months</t>
  </si>
  <si>
    <t/>
  </si>
  <si>
    <t>Calculation</t>
  </si>
  <si>
    <t>IBAN</t>
  </si>
  <si>
    <t>Bank Name</t>
  </si>
  <si>
    <t>Customer Name</t>
  </si>
  <si>
    <t>SA0230400197093922590013</t>
  </si>
  <si>
    <t>Alawwal Bank</t>
  </si>
  <si>
    <t>Abdul Rahman</t>
  </si>
  <si>
    <t>SA0210000011100003474306</t>
  </si>
  <si>
    <t>National Commercial Bank</t>
  </si>
  <si>
    <t>Faisal Rahman</t>
  </si>
  <si>
    <t>SA0220000003031030859941</t>
  </si>
  <si>
    <t>Al Rajhi Bank</t>
  </si>
  <si>
    <t>Parameter</t>
  </si>
  <si>
    <t>ETB Details</t>
  </si>
  <si>
    <t>NTB Details</t>
  </si>
  <si>
    <t>Id Number</t>
  </si>
  <si>
    <t>Name</t>
  </si>
  <si>
    <t>Contact Number</t>
  </si>
  <si>
    <t>Address Line 1</t>
  </si>
  <si>
    <t>Villa 12, Al Malaz Residential Compound</t>
  </si>
  <si>
    <t>Villa 13, Al Malaz Residential Compound</t>
  </si>
  <si>
    <t>Address Line 2</t>
  </si>
  <si>
    <t>Near Prince Faisal Bin Fahd Stadium</t>
  </si>
  <si>
    <t>Street</t>
  </si>
  <si>
    <t>Al Jamiah Street</t>
  </si>
  <si>
    <t>Postal Code</t>
  </si>
  <si>
    <t>Employer Name</t>
  </si>
  <si>
    <t>Newgen Software</t>
  </si>
  <si>
    <t>Work Address</t>
  </si>
  <si>
    <t>Kingdom Tower, Office 1205</t>
  </si>
  <si>
    <t>Work City</t>
  </si>
  <si>
    <t>Riyadh</t>
  </si>
  <si>
    <t>Work Post Code</t>
  </si>
  <si>
    <t>Income Details</t>
  </si>
  <si>
    <t>Min Value- 2,000
Max Value- 100,000</t>
  </si>
  <si>
    <t>Obligations</t>
  </si>
  <si>
    <t>Min Value- 5,000
Max Value- 200,000</t>
  </si>
  <si>
    <t>Monthly Income</t>
  </si>
  <si>
    <t>Auto populate the provided values</t>
  </si>
  <si>
    <t>Text</t>
  </si>
  <si>
    <t>Work Post code</t>
  </si>
  <si>
    <t>Employment Details</t>
  </si>
  <si>
    <t>Total Experience</t>
  </si>
  <si>
    <t>Refer Dropdowns</t>
  </si>
  <si>
    <t>Update values as per the Dropdown list. Auto populate 'Banking &amp; Finance'</t>
  </si>
  <si>
    <t>Dropdown</t>
  </si>
  <si>
    <t>Industry type</t>
  </si>
  <si>
    <t>Employer name</t>
  </si>
  <si>
    <t>Update values as per the Dropdown list. Auto populate 'Private Sector'</t>
  </si>
  <si>
    <t>Employer type</t>
  </si>
  <si>
    <t>Update values as per the list</t>
  </si>
  <si>
    <t>House Type</t>
  </si>
  <si>
    <t>Address Details</t>
  </si>
  <si>
    <t>Auto populate the postal code '12836' for ETB and NTB both</t>
  </si>
  <si>
    <t>Update values as per the dropdown list. Auto Populate Riyadh for ETB and NTB both</t>
  </si>
  <si>
    <t>City</t>
  </si>
  <si>
    <t>Auto populate the provided values as per NTB/ETB</t>
  </si>
  <si>
    <t>Update values as per the dropdown list. Auto Populate '1' for ETB. Keep the field blank for NTB</t>
  </si>
  <si>
    <t>No. of dependents</t>
  </si>
  <si>
    <t>Customer Personal Details</t>
  </si>
  <si>
    <t>Update values as per the dropdown list. Auto Populate Married for ETB. Keep the field blank for NTB</t>
  </si>
  <si>
    <t>Marital Status</t>
  </si>
  <si>
    <t>Update values as per the dropdown list</t>
  </si>
  <si>
    <t>Level of education</t>
  </si>
  <si>
    <t>ID expiration date- 26/08/2027</t>
  </si>
  <si>
    <t>Auto populate 26/08/2027 for both NTB and ETB</t>
  </si>
  <si>
    <t>Date</t>
  </si>
  <si>
    <t>ID expiration date</t>
  </si>
  <si>
    <t>Nationality- KSA</t>
  </si>
  <si>
    <t>Auto populate KSA for both NTB and ETB</t>
  </si>
  <si>
    <t>Nationality</t>
  </si>
  <si>
    <t>Populate as per NTB/ETB. Map it with ID number</t>
  </si>
  <si>
    <t>Populate name as per NTB/ETB. Map it with ID number</t>
  </si>
  <si>
    <t>Numeric values only, Starts with '1' or '2', Max 10 digits allowed, Auto populate the Id number (NTB/ETB)</t>
  </si>
  <si>
    <t>ID number</t>
  </si>
  <si>
    <t>Remarks</t>
  </si>
  <si>
    <t>Description</t>
  </si>
  <si>
    <t>Field Type</t>
  </si>
  <si>
    <t>Field Name</t>
  </si>
  <si>
    <t>Category</t>
  </si>
  <si>
    <t>Estimated Eligible Amount= [(Monthly Income × 50%) −Obligations − (Total limit of all Credit Cards × 10%)]*Tenure (in months)</t>
  </si>
  <si>
    <t>Maximum Allowed Amount= [(Monthly Income × 35%) −Obligations − (Total limit of all Credit Cards × 5%)]*60</t>
  </si>
  <si>
    <t>Example</t>
  </si>
  <si>
    <t>Populate "Graduation" for ETB</t>
  </si>
  <si>
    <t>Populate "Married" for ETB</t>
  </si>
  <si>
    <t>Populate "2" for ETB</t>
  </si>
  <si>
    <t>City- Riyadh (ETB &amp; NTB)</t>
  </si>
  <si>
    <t>Private Sector (ETB &amp; NTB)</t>
  </si>
  <si>
    <t>Employer name- Newgen Software (ETB &amp; NTB)</t>
  </si>
  <si>
    <t>Banking &amp; Finance (ETB &amp; NTB)</t>
  </si>
  <si>
    <t>7 years (ETB &amp; NTB)</t>
  </si>
  <si>
    <t>Income- SAR 35650 (ETB &amp; NTB)</t>
  </si>
  <si>
    <t>Total Obligations- 8750</t>
  </si>
  <si>
    <t>Total limit of all Credit Cards</t>
  </si>
  <si>
    <t>Hidden Field</t>
  </si>
  <si>
    <t>For Eligibility Calculation</t>
  </si>
  <si>
    <t>SAR 20000</t>
  </si>
  <si>
    <t>Education</t>
  </si>
  <si>
    <t>Expense Details</t>
  </si>
  <si>
    <t>Average Monthly Expenses across mentioned Categories</t>
  </si>
  <si>
    <t>New Card</t>
  </si>
  <si>
    <r>
      <rPr>
        <b/>
        <sz val="11"/>
        <color theme="1"/>
        <rFont val="Aptos Narrow"/>
        <family val="2"/>
        <scheme val="minor"/>
      </rPr>
      <t>Expense Type-</t>
    </r>
    <r>
      <rPr>
        <sz val="11"/>
        <color theme="1"/>
        <rFont val="Aptos Narrow"/>
        <family val="2"/>
        <scheme val="minor"/>
      </rPr>
      <t xml:space="preserve">
Housing/Rent
Food &amp; Groceries
Utility Bills
Healthcare
Transportation
Education</t>
    </r>
  </si>
  <si>
    <t>Customer Type</t>
  </si>
  <si>
    <t>ETB/NTB</t>
  </si>
  <si>
    <t>NTB</t>
  </si>
  <si>
    <t>#</t>
  </si>
  <si>
    <t>ETB</t>
  </si>
  <si>
    <t>Populate 1st for NTB customer, only if the customer has clicked on Open Banking. 
If the customer did not click on Open banking, then customer to enter manually
Manual Entry- Customer Enters IBAN, Auto populate Bank Name and Customer Name in IBAN card as per masters</t>
  </si>
  <si>
    <t xml:space="preserve">Populate 2nd &amp; 3rd for ETB customer in IBAN Card. Also ask if the customer wants to enter a new IBAN manually 
Manual Entry- Customer Enters IBAN, Auto populate Bank Name and Customer Name in IBAN card as per masters
</t>
  </si>
  <si>
    <r>
      <t xml:space="preserve">[19] Customer to select/enter IBAN (NTB)
</t>
    </r>
    <r>
      <rPr>
        <b/>
        <sz val="10.5"/>
        <rFont val="Aptos Narrow"/>
        <family val="2"/>
        <scheme val="minor"/>
      </rPr>
      <t>Customer selects IBAN (ETB) from the list (ask if the customer wants to enter a new IBAN manually)</t>
    </r>
  </si>
  <si>
    <t>[7] Ask Customer for average monthly Expenses across mentioned categories (Populate Expenses in a card )</t>
  </si>
  <si>
    <r>
      <t xml:space="preserve">Populate </t>
    </r>
    <r>
      <rPr>
        <b/>
        <sz val="11"/>
        <color theme="4"/>
        <rFont val="Aptos Narrow"/>
        <family val="2"/>
        <scheme val="minor"/>
      </rPr>
      <t xml:space="preserve">Updated income- </t>
    </r>
    <r>
      <rPr>
        <b/>
        <sz val="11"/>
        <rFont val="Aptos Narrow"/>
        <family val="2"/>
        <scheme val="minor"/>
      </rPr>
      <t>SAR 41250</t>
    </r>
    <r>
      <rPr>
        <sz val="11"/>
        <color theme="1"/>
        <rFont val="Aptos Narrow"/>
        <family val="2"/>
        <scheme val="minor"/>
      </rPr>
      <t xml:space="preserve">
and
</t>
    </r>
    <r>
      <rPr>
        <b/>
        <sz val="11"/>
        <color theme="4"/>
        <rFont val="Aptos Narrow"/>
        <family val="2"/>
        <scheme val="minor"/>
      </rPr>
      <t>Auto populate Expenses</t>
    </r>
    <r>
      <rPr>
        <sz val="11"/>
        <color theme="1"/>
        <rFont val="Aptos Narrow"/>
        <family val="2"/>
        <scheme val="minor"/>
      </rPr>
      <t xml:space="preserve"> in the next step= </t>
    </r>
    <r>
      <rPr>
        <b/>
        <sz val="11"/>
        <color theme="1"/>
        <rFont val="Aptos Narrow"/>
        <family val="2"/>
        <scheme val="minor"/>
      </rPr>
      <t>SAR 8750</t>
    </r>
  </si>
  <si>
    <t xml:space="preserve">IBAN </t>
  </si>
  <si>
    <t>Refer Masters for data. 
Validation- Starts with "SA" and total 24 Digits</t>
  </si>
  <si>
    <t>[1] Customer enters Mobile Number</t>
  </si>
  <si>
    <t>[2] Customer enters National ID</t>
  </si>
  <si>
    <t>(Live OTP &amp; Fallback OTP)</t>
  </si>
  <si>
    <t>Open Nafath App</t>
  </si>
  <si>
    <t>5 second loader</t>
  </si>
  <si>
    <t>Email Id</t>
  </si>
  <si>
    <t>rishabh-mittal@newgensoft.com</t>
  </si>
  <si>
    <r>
      <rPr>
        <b/>
        <sz val="11"/>
        <color theme="1"/>
        <rFont val="Aptos Narrow"/>
        <family val="2"/>
        <scheme val="minor"/>
      </rPr>
      <t>Open banking</t>
    </r>
    <r>
      <rPr>
        <sz val="11"/>
        <color theme="1"/>
        <rFont val="Aptos Narrow"/>
        <family val="2"/>
        <scheme val="minor"/>
      </rPr>
      <t>- An Email has been sent to the registered ID. Please Link your account
(Add a loader)</t>
    </r>
  </si>
  <si>
    <t>s</t>
  </si>
  <si>
    <t>Email ID</t>
  </si>
  <si>
    <t>Customer to enter manually/
Open banking- SAR 7560</t>
  </si>
  <si>
    <t>Profit Rate</t>
  </si>
  <si>
    <t xml:space="preserve">Integration </t>
  </si>
  <si>
    <t>**(Fetched from Yakeen)</t>
  </si>
  <si>
    <t>**(Fetched from Saudi Post)</t>
  </si>
  <si>
    <t>**(Fetched from GOSI)</t>
  </si>
  <si>
    <t>Primary Education</t>
  </si>
  <si>
    <t>Intermediate (Middle School)</t>
  </si>
  <si>
    <t>Secondary (High School)</t>
  </si>
  <si>
    <t>Vocational / Technical Certificate</t>
  </si>
  <si>
    <t>Diploma (Associate / Intermediate)</t>
  </si>
  <si>
    <t>Bachelor’s Degree</t>
  </si>
  <si>
    <t>Postgraduate Diploma</t>
  </si>
  <si>
    <t>Master’s Degree</t>
  </si>
  <si>
    <t>Doctorate (PhD)</t>
  </si>
  <si>
    <t>Professional Qualification (CA/CFA/CIPD etc.)</t>
  </si>
  <si>
    <t>Religious Education (Madrasa / Shariah Studies)</t>
  </si>
  <si>
    <t>No Formal Education</t>
  </si>
  <si>
    <t>Single</t>
  </si>
  <si>
    <t>Married</t>
  </si>
  <si>
    <t>Divorced</t>
  </si>
  <si>
    <t>Widowed</t>
  </si>
  <si>
    <t>Separated</t>
  </si>
  <si>
    <t>Polygamous</t>
  </si>
  <si>
    <t>6+</t>
  </si>
  <si>
    <t>Owned Villa</t>
  </si>
  <si>
    <t>Owned Apartment</t>
  </si>
  <si>
    <t>Owned Traditional House</t>
  </si>
  <si>
    <t>Rented Apartment</t>
  </si>
  <si>
    <t>Rented Villa</t>
  </si>
  <si>
    <t>Company Provided Accommodation</t>
  </si>
  <si>
    <t>Shared Accommodation</t>
  </si>
  <si>
    <t>Family Owned (Not in applicant name)</t>
  </si>
  <si>
    <t>Government Housing</t>
  </si>
  <si>
    <t>Other</t>
  </si>
  <si>
    <t>Government (Ministry / Semi-Government)</t>
  </si>
  <si>
    <t>Military / Defence</t>
  </si>
  <si>
    <t>Public Sector (PSU / State-Owned Enterprise)</t>
  </si>
  <si>
    <t>Private – Large Corporate</t>
  </si>
  <si>
    <t>Private – SME</t>
  </si>
  <si>
    <t>Bank / Financial Institution</t>
  </si>
  <si>
    <t>Listed Company</t>
  </si>
  <si>
    <t>Multinational Corporation (MNC)</t>
  </si>
  <si>
    <t>Self-Employed / Business Owner</t>
  </si>
  <si>
    <t>Freelancer</t>
  </si>
  <si>
    <t>Non-Profit / NGO</t>
  </si>
  <si>
    <t>Family Business</t>
  </si>
  <si>
    <t>Unemployed / Not Working</t>
  </si>
  <si>
    <t>Retired</t>
  </si>
  <si>
    <t>Student</t>
  </si>
  <si>
    <t>Oil &amp; Gas / Energy</t>
  </si>
  <si>
    <t>Banking &amp; Financial Services</t>
  </si>
  <si>
    <t>Government Administration</t>
  </si>
  <si>
    <t>Defence / Military</t>
  </si>
  <si>
    <t>Construction &amp; Real Estate</t>
  </si>
  <si>
    <t>Retail &amp; Trading</t>
  </si>
  <si>
    <t>Healthcare &amp; Pharmaceuticals</t>
  </si>
  <si>
    <t>Telecommunications &amp; IT</t>
  </si>
  <si>
    <t>Manufacturing / Industrial</t>
  </si>
  <si>
    <t>Transportation &amp; Logistics</t>
  </si>
  <si>
    <t>Hospitality &amp; Tourism</t>
  </si>
  <si>
    <t>Aviation</t>
  </si>
  <si>
    <t>Agriculture &amp; Food Processing</t>
  </si>
  <si>
    <t>Media &amp; Entertainment</t>
  </si>
  <si>
    <t>Utilities (Water, Electricity)</t>
  </si>
  <si>
    <t>Consulting / Professional Services</t>
  </si>
  <si>
    <t>E-commerce / FinTech</t>
  </si>
  <si>
    <t>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</si>
</sst>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b/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 Narrow"/>
      <family val="2"/>
      <scheme val="minor"/>
    </font>
    <font>
      <b/>
      <sz val="10.5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quotePrefix="1" applyFont="1"/>
    <xf numFmtId="0" fontId="2" fillId="0" borderId="0" xfId="0" applyFont="1"/>
    <xf numFmtId="0" fontId="13" fillId="6" borderId="0" xfId="0" applyFont="1" applyFill="1"/>
    <xf numFmtId="0" fontId="0" fillId="0" borderId="0" xfId="0" applyAlignment="1">
      <alignment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0" fillId="10" borderId="1" xfId="0" applyFill="1" applyBorder="1" applyAlignment="1">
      <alignment wrapText="1"/>
    </xf>
    <xf numFmtId="0" fontId="0" fillId="10" borderId="1" xfId="0" applyFill="1" applyBorder="1"/>
    <xf numFmtId="0" fontId="15" fillId="11" borderId="1" xfId="0" applyFont="1" applyFill="1" applyBorder="1" applyAlignment="1">
      <alignment wrapText="1"/>
    </xf>
    <xf numFmtId="0" fontId="15" fillId="11" borderId="1" xfId="0" applyFont="1" applyFill="1" applyBorder="1"/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vertical="center" wrapText="1"/>
    </xf>
    <xf numFmtId="0" fontId="0" fillId="0" borderId="14" xfId="0" applyBorder="1"/>
    <xf numFmtId="0" fontId="13" fillId="6" borderId="1" xfId="0" applyFont="1" applyFill="1" applyBorder="1"/>
    <xf numFmtId="0" fontId="0" fillId="0" borderId="1" xfId="0" applyFill="1" applyBorder="1"/>
    <xf numFmtId="0" fontId="14" fillId="0" borderId="0" xfId="0" applyFont="1" applyFill="1" applyBorder="1" applyAlignment="1">
      <alignment vertical="center"/>
    </xf>
    <xf numFmtId="0" fontId="18" fillId="0" borderId="15" xfId="0" applyFont="1" applyBorder="1" applyAlignment="1">
      <alignment horizontal="center" vertical="center"/>
    </xf>
    <xf numFmtId="0" fontId="17" fillId="0" borderId="16" xfId="0" applyFont="1" applyFill="1" applyBorder="1" applyAlignment="1">
      <alignment horizontal="left" vertical="center" wrapText="1"/>
    </xf>
    <xf numFmtId="0" fontId="17" fillId="0" borderId="17" xfId="0" applyFont="1" applyFill="1" applyBorder="1" applyAlignment="1">
      <alignment horizontal="left" vertical="center" wrapText="1"/>
    </xf>
    <xf numFmtId="0" fontId="14" fillId="0" borderId="18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left" vertical="top" wrapText="1"/>
    </xf>
    <xf numFmtId="0" fontId="17" fillId="0" borderId="17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20" fillId="0" borderId="0" xfId="0" applyFont="1"/>
    <xf numFmtId="0" fontId="16" fillId="10" borderId="1" xfId="1" applyFill="1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0" xfId="0" applyFont="1" applyBorder="1"/>
    <xf numFmtId="0" fontId="8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6" fillId="0" borderId="0" xfId="1"/>
    <xf numFmtId="0" fontId="1" fillId="10" borderId="1" xfId="0" applyFont="1" applyFill="1" applyBorder="1"/>
    <xf numFmtId="0" fontId="1" fillId="9" borderId="1" xfId="0" applyFont="1" applyFill="1" applyBorder="1"/>
    <xf numFmtId="0" fontId="1" fillId="8" borderId="1" xfId="0" applyFont="1" applyFill="1" applyBorder="1"/>
    <xf numFmtId="10" fontId="0" fillId="4" borderId="1" xfId="0" applyNumberFormat="1" applyFill="1" applyBorder="1" applyAlignment="1">
      <alignment wrapText="1"/>
    </xf>
    <xf numFmtId="0" fontId="0" fillId="10" borderId="13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21" fillId="10" borderId="19" xfId="0" applyFont="1" applyFill="1" applyBorder="1" applyAlignment="1">
      <alignment horizontal="center" vertical="center"/>
    </xf>
    <xf numFmtId="0" fontId="21" fillId="9" borderId="19" xfId="0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/>
    </xf>
    <xf numFmtId="0" fontId="21" fillId="9" borderId="20" xfId="0" applyFont="1" applyFill="1" applyBorder="1" applyAlignment="1">
      <alignment horizontal="center" vertical="center"/>
    </xf>
    <xf numFmtId="0" fontId="21" fillId="8" borderId="19" xfId="0" applyFont="1" applyFill="1" applyBorder="1" applyAlignment="1">
      <alignment horizontal="center" vertical="center"/>
    </xf>
    <xf numFmtId="0" fontId="21" fillId="8" borderId="13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10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847725</xdr:colOff>
      <xdr:row>16</xdr:row>
      <xdr:rowOff>76200</xdr:rowOff>
    </xdr:from>
    <xdr:to>
      <xdr:col>9</xdr:col>
      <xdr:colOff>588750</xdr:colOff>
      <xdr:row>16</xdr:row>
      <xdr:rowOff>220200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2B061F-BF7A-4914-3134-A746B0682A90}"/>
            </a:ext>
          </a:extLst>
        </xdr:cNvPr>
        <xdr:cNvSpPr txBox="1"/>
      </xdr:nvSpPr>
      <xdr:spPr>
        <a:xfrm>
          <a:off x="3238500" y="5762625"/>
          <a:ext cx="684000" cy="14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800" b="1">
              <a:solidFill>
                <a:srgbClr val="FF0000"/>
              </a:solidFill>
            </a:rPr>
            <a:t>Not Correct</a:t>
          </a:r>
        </a:p>
      </xdr:txBody>
    </xdr:sp>
    <xdr:clientData/>
  </xdr:twoCellAnchor>
  <xdr:twoCellAnchor>
    <xdr:from>
      <xdr:col>9</xdr:col>
      <xdr:colOff>1019175</xdr:colOff>
      <xdr:row>12</xdr:row>
      <xdr:rowOff>66675</xdr:rowOff>
    </xdr:from>
    <xdr:to>
      <xdr:col>9</xdr:col>
      <xdr:colOff>1415175</xdr:colOff>
      <xdr:row>12</xdr:row>
      <xdr:rowOff>210675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85FDB2-040A-4C2E-B946-B94580C96A90}"/>
            </a:ext>
          </a:extLst>
        </xdr:cNvPr>
        <xdr:cNvSpPr txBox="1"/>
      </xdr:nvSpPr>
      <xdr:spPr>
        <a:xfrm>
          <a:off x="3590925" y="4191000"/>
          <a:ext cx="396000" cy="14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000" b="1">
              <a:solidFill>
                <a:srgbClr val="FF0000"/>
              </a:solidFill>
            </a:rPr>
            <a:t>NTB</a:t>
          </a:r>
        </a:p>
      </xdr:txBody>
    </xdr:sp>
    <xdr:clientData/>
  </xdr:twoCellAnchor>
  <xdr:twoCellAnchor>
    <xdr:from>
      <xdr:col>9</xdr:col>
      <xdr:colOff>2533650</xdr:colOff>
      <xdr:row>12</xdr:row>
      <xdr:rowOff>123825</xdr:rowOff>
    </xdr:from>
    <xdr:to>
      <xdr:col>12</xdr:col>
      <xdr:colOff>466562</xdr:colOff>
      <xdr:row>12</xdr:row>
      <xdr:rowOff>123825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327D076-5243-E586-4EEF-3C5EF0757D80}"/>
            </a:ext>
          </a:extLst>
        </xdr:cNvPr>
        <xdr:cNvCxnSpPr/>
      </xdr:nvCxnSpPr>
      <xdr:spPr>
        <a:xfrm>
          <a:off x="5099797" y="4270001"/>
          <a:ext cx="3816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13</xdr:col>
      <xdr:colOff>396000</xdr:colOff>
      <xdr:row>12</xdr:row>
      <xdr:rowOff>144000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9463F6B-5BDB-4DDE-AD90-9C3930AC4A0F}"/>
            </a:ext>
          </a:extLst>
        </xdr:cNvPr>
        <xdr:cNvSpPr txBox="1"/>
      </xdr:nvSpPr>
      <xdr:spPr>
        <a:xfrm>
          <a:off x="9054353" y="4146176"/>
          <a:ext cx="396000" cy="14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000" b="1">
              <a:solidFill>
                <a:srgbClr val="FF0000"/>
              </a:solidFill>
            </a:rPr>
            <a:t>ETB</a:t>
          </a:r>
        </a:p>
      </xdr:txBody>
    </xdr:sp>
    <xdr:clientData/>
  </xdr:twoCellAnchor>
  <xdr:twoCellAnchor>
    <xdr:from>
      <xdr:col>10</xdr:col>
      <xdr:colOff>11208</xdr:colOff>
      <xdr:row>13</xdr:row>
      <xdr:rowOff>246529</xdr:rowOff>
    </xdr:from>
    <xdr:to>
      <xdr:col>13</xdr:col>
      <xdr:colOff>369794</xdr:colOff>
      <xdr:row>14</xdr:row>
      <xdr:rowOff>156883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DDBEBFD-18C8-E129-B75E-56AE84FBC7B6}"/>
            </a:ext>
          </a:extLst>
        </xdr:cNvPr>
        <xdr:cNvGrpSpPr/>
      </xdr:nvGrpSpPr>
      <xdr:grpSpPr>
        <a:xfrm>
          <a:off x="6308914" y="4672853"/>
          <a:ext cx="2666998" cy="414618"/>
          <a:chOff x="5546914" y="4672853"/>
          <a:chExt cx="2666998" cy="414618"/>
        </a:xfrm>
      </xdr:grpSpPr>
      <xdr:cxnSp macro="">
        <xdr:nvCxnSpPr>
          <xdr:cNvPr id="9" name="Connector: Elbow 8">
            <a:extLst>
              <a:ext uri="{FF2B5EF4-FFF2-40B4-BE49-F238E27FC236}">
                <a16:creationId xmlns:a16="http://schemas.microsoft.com/office/drawing/2014/main" id="{F42BADC7-27C3-555C-D870-C20351BBFBA9}"/>
              </a:ext>
            </a:extLst>
          </xdr:cNvPr>
          <xdr:cNvCxnSpPr/>
        </xdr:nvCxnSpPr>
        <xdr:spPr>
          <a:xfrm rot="10800000">
            <a:off x="5546914" y="4672853"/>
            <a:ext cx="2666998" cy="414618"/>
          </a:xfrm>
          <a:prstGeom prst="bentConnector3">
            <a:avLst>
              <a:gd name="adj1" fmla="val 82425"/>
            </a:avLst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E5B9C330-4ADD-76EC-0E9D-6ED999204FE8}"/>
              </a:ext>
            </a:extLst>
          </xdr:cNvPr>
          <xdr:cNvCxnSpPr/>
        </xdr:nvCxnSpPr>
        <xdr:spPr>
          <a:xfrm flipV="1">
            <a:off x="8213911" y="4941794"/>
            <a:ext cx="0" cy="14400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544191</xdr:colOff>
      <xdr:row>13</xdr:row>
      <xdr:rowOff>244482</xdr:rowOff>
    </xdr:from>
    <xdr:to>
      <xdr:col>12</xdr:col>
      <xdr:colOff>567216</xdr:colOff>
      <xdr:row>14</xdr:row>
      <xdr:rowOff>99657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765CDA3-9025-4394-86AE-5E5E764FC61D}"/>
            </a:ext>
          </a:extLst>
        </xdr:cNvPr>
        <xdr:cNvSpPr txBox="1"/>
      </xdr:nvSpPr>
      <xdr:spPr>
        <a:xfrm>
          <a:off x="6087741" y="4645032"/>
          <a:ext cx="1728000" cy="36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 b="1">
              <a:solidFill>
                <a:srgbClr val="FF0000"/>
              </a:solidFill>
            </a:rPr>
            <a:t>Customer Selects</a:t>
          </a:r>
          <a:r>
            <a:rPr lang="en-IN" sz="800" b="1" baseline="0">
              <a:solidFill>
                <a:srgbClr val="FF0000"/>
              </a:solidFill>
            </a:rPr>
            <a:t> "Need Higher Amount"</a:t>
          </a:r>
          <a:endParaRPr lang="en-IN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1647825</xdr:colOff>
      <xdr:row>14</xdr:row>
      <xdr:rowOff>76200</xdr:rowOff>
    </xdr:from>
    <xdr:to>
      <xdr:col>13</xdr:col>
      <xdr:colOff>1657350</xdr:colOff>
      <xdr:row>19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7CB44A47-3CD0-8587-2D21-9067A8647602}"/>
            </a:ext>
          </a:extLst>
        </xdr:cNvPr>
        <xdr:cNvCxnSpPr/>
      </xdr:nvCxnSpPr>
      <xdr:spPr>
        <a:xfrm>
          <a:off x="9505950" y="4981575"/>
          <a:ext cx="9525" cy="17621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1725291</xdr:colOff>
      <xdr:row>15</xdr:row>
      <xdr:rowOff>63507</xdr:rowOff>
    </xdr:from>
    <xdr:to>
      <xdr:col>15</xdr:col>
      <xdr:colOff>5241</xdr:colOff>
      <xdr:row>15</xdr:row>
      <xdr:rowOff>423507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9DE9FD-A555-4028-8E99-A458F92BC0FE}"/>
            </a:ext>
          </a:extLst>
        </xdr:cNvPr>
        <xdr:cNvSpPr txBox="1"/>
      </xdr:nvSpPr>
      <xdr:spPr>
        <a:xfrm>
          <a:off x="9583416" y="5245107"/>
          <a:ext cx="1728000" cy="36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 b="1">
              <a:solidFill>
                <a:srgbClr val="FF0000"/>
              </a:solidFill>
            </a:rPr>
            <a:t>Customer Selects</a:t>
          </a:r>
          <a:r>
            <a:rPr lang="en-IN" sz="800" b="1" baseline="0">
              <a:solidFill>
                <a:srgbClr val="FF0000"/>
              </a:solidFill>
            </a:rPr>
            <a:t> "Go with Pre-Approved Amount"</a:t>
          </a:r>
          <a:endParaRPr lang="en-IN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1666875</xdr:colOff>
      <xdr:row>20</xdr:row>
      <xdr:rowOff>47625</xdr:rowOff>
    </xdr:from>
    <xdr:to>
      <xdr:col>13</xdr:col>
      <xdr:colOff>1676400</xdr:colOff>
      <xdr:row>22</xdr:row>
      <xdr:rowOff>238575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5A48293C-4372-4409-9C05-941E6769B219}"/>
            </a:ext>
          </a:extLst>
        </xdr:cNvPr>
        <xdr:cNvCxnSpPr/>
      </xdr:nvCxnSpPr>
      <xdr:spPr>
        <a:xfrm>
          <a:off x="9525000" y="7296150"/>
          <a:ext cx="9525" cy="9720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66678</xdr:colOff>
      <xdr:row>31</xdr:row>
      <xdr:rowOff>484654</xdr:rowOff>
    </xdr:from>
    <xdr:to>
      <xdr:col>13</xdr:col>
      <xdr:colOff>409576</xdr:colOff>
      <xdr:row>33</xdr:row>
      <xdr:rowOff>285747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A263E5D3-A69A-3C0E-8551-58FCF92A2ED9}"/>
            </a:ext>
          </a:extLst>
        </xdr:cNvPr>
        <xdr:cNvGrpSpPr/>
      </xdr:nvGrpSpPr>
      <xdr:grpSpPr>
        <a:xfrm>
          <a:off x="6364384" y="12049125"/>
          <a:ext cx="2651310" cy="585504"/>
          <a:chOff x="5610228" y="11914654"/>
          <a:chExt cx="2657473" cy="582143"/>
        </a:xfrm>
      </xdr:grpSpPr>
      <xdr:cxnSp macro="">
        <xdr:nvCxnSpPr>
          <xdr:cNvPr id="33" name="Connector: Elbow 32">
            <a:extLst>
              <a:ext uri="{FF2B5EF4-FFF2-40B4-BE49-F238E27FC236}">
                <a16:creationId xmlns:a16="http://schemas.microsoft.com/office/drawing/2014/main" id="{6A7B9A69-DE3C-89E3-53EA-32138C072D06}"/>
              </a:ext>
            </a:extLst>
          </xdr:cNvPr>
          <xdr:cNvCxnSpPr/>
        </xdr:nvCxnSpPr>
        <xdr:spPr>
          <a:xfrm rot="10800000" flipV="1">
            <a:off x="5610228" y="12068174"/>
            <a:ext cx="2657473" cy="428623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DBC7F75F-4D05-43C2-95DB-A016DF49E06B}"/>
              </a:ext>
            </a:extLst>
          </xdr:cNvPr>
          <xdr:cNvCxnSpPr/>
        </xdr:nvCxnSpPr>
        <xdr:spPr>
          <a:xfrm flipV="1">
            <a:off x="8259858" y="11914654"/>
            <a:ext cx="0" cy="14419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2143125</xdr:colOff>
      <xdr:row>30</xdr:row>
      <xdr:rowOff>38100</xdr:rowOff>
    </xdr:from>
    <xdr:to>
      <xdr:col>13</xdr:col>
      <xdr:colOff>2188844</xdr:colOff>
      <xdr:row>30</xdr:row>
      <xdr:rowOff>83819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7089AE2A-7DC0-3AAB-C386-D82E152D1B24}"/>
            </a:ext>
          </a:extLst>
        </xdr:cNvPr>
        <xdr:cNvSpPr/>
      </xdr:nvSpPr>
      <xdr:spPr>
        <a:xfrm>
          <a:off x="10001250" y="11191875"/>
          <a:ext cx="45719" cy="457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19050</xdr:colOff>
      <xdr:row>27</xdr:row>
      <xdr:rowOff>247650</xdr:rowOff>
    </xdr:from>
    <xdr:to>
      <xdr:col>14</xdr:col>
      <xdr:colOff>64769</xdr:colOff>
      <xdr:row>27</xdr:row>
      <xdr:rowOff>293369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8D95E12A-77E6-32D9-2532-239323F54477}"/>
            </a:ext>
          </a:extLst>
        </xdr:cNvPr>
        <xdr:cNvSpPr/>
      </xdr:nvSpPr>
      <xdr:spPr>
        <a:xfrm>
          <a:off x="10715625" y="10115550"/>
          <a:ext cx="45719" cy="457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2188844</xdr:colOff>
      <xdr:row>27</xdr:row>
      <xdr:rowOff>270510</xdr:rowOff>
    </xdr:from>
    <xdr:to>
      <xdr:col>14</xdr:col>
      <xdr:colOff>64769</xdr:colOff>
      <xdr:row>30</xdr:row>
      <xdr:rowOff>60960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B2935729-E89B-166B-F353-D3FAA1B49069}"/>
            </a:ext>
          </a:extLst>
        </xdr:cNvPr>
        <xdr:cNvCxnSpPr>
          <a:stCxn id="45" idx="3"/>
          <a:endCxn id="46" idx="3"/>
        </xdr:cNvCxnSpPr>
      </xdr:nvCxnSpPr>
      <xdr:spPr>
        <a:xfrm flipV="1">
          <a:off x="10046969" y="10138410"/>
          <a:ext cx="714375" cy="1076325"/>
        </a:xfrm>
        <a:prstGeom prst="bentConnector3">
          <a:avLst>
            <a:gd name="adj1" fmla="val 132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439831</xdr:colOff>
      <xdr:row>30</xdr:row>
      <xdr:rowOff>29135</xdr:rowOff>
    </xdr:from>
    <xdr:to>
      <xdr:col>13</xdr:col>
      <xdr:colOff>1267831</xdr:colOff>
      <xdr:row>30</xdr:row>
      <xdr:rowOff>245695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72C1192-79E0-4CA7-80F6-6F9A85C5AA81}"/>
            </a:ext>
          </a:extLst>
        </xdr:cNvPr>
        <xdr:cNvSpPr txBox="1"/>
      </xdr:nvSpPr>
      <xdr:spPr>
        <a:xfrm>
          <a:off x="8297956" y="11182910"/>
          <a:ext cx="828000" cy="216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00" b="1">
              <a:solidFill>
                <a:srgbClr val="FF0000"/>
              </a:solidFill>
            </a:rPr>
            <a:t>Proceed</a:t>
          </a:r>
        </a:p>
      </xdr:txBody>
    </xdr:sp>
    <xdr:clientData/>
  </xdr:twoCellAnchor>
  <xdr:twoCellAnchor>
    <xdr:from>
      <xdr:col>13</xdr:col>
      <xdr:colOff>2240056</xdr:colOff>
      <xdr:row>30</xdr:row>
      <xdr:rowOff>95810</xdr:rowOff>
    </xdr:from>
    <xdr:to>
      <xdr:col>14</xdr:col>
      <xdr:colOff>13606</xdr:colOff>
      <xdr:row>30</xdr:row>
      <xdr:rowOff>239810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0621E71-3A51-4FD7-A49C-1EB5B51B57B6}"/>
            </a:ext>
          </a:extLst>
        </xdr:cNvPr>
        <xdr:cNvSpPr txBox="1"/>
      </xdr:nvSpPr>
      <xdr:spPr>
        <a:xfrm>
          <a:off x="10098181" y="11249585"/>
          <a:ext cx="612000" cy="14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00" b="1">
              <a:solidFill>
                <a:srgbClr val="FF0000"/>
              </a:solidFill>
            </a:rPr>
            <a:t>Modify</a:t>
          </a:r>
        </a:p>
      </xdr:txBody>
    </xdr:sp>
    <xdr:clientData/>
  </xdr:twoCellAnchor>
  <xdr:twoCellAnchor>
    <xdr:from>
      <xdr:col>13</xdr:col>
      <xdr:colOff>211231</xdr:colOff>
      <xdr:row>26</xdr:row>
      <xdr:rowOff>29135</xdr:rowOff>
    </xdr:from>
    <xdr:to>
      <xdr:col>13</xdr:col>
      <xdr:colOff>1039231</xdr:colOff>
      <xdr:row>26</xdr:row>
      <xdr:rowOff>245695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5F29900-399F-4BA5-ACF8-8F48FB2DC5D8}"/>
            </a:ext>
          </a:extLst>
        </xdr:cNvPr>
        <xdr:cNvSpPr txBox="1"/>
      </xdr:nvSpPr>
      <xdr:spPr>
        <a:xfrm>
          <a:off x="8069356" y="9620810"/>
          <a:ext cx="828000" cy="216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00" b="1">
              <a:solidFill>
                <a:srgbClr val="FF0000"/>
              </a:solidFill>
            </a:rPr>
            <a:t>Proceed</a:t>
          </a:r>
        </a:p>
      </xdr:txBody>
    </xdr:sp>
    <xdr:clientData/>
  </xdr:twoCellAnchor>
  <xdr:twoCellAnchor>
    <xdr:from>
      <xdr:col>13</xdr:col>
      <xdr:colOff>2316256</xdr:colOff>
      <xdr:row>26</xdr:row>
      <xdr:rowOff>86285</xdr:rowOff>
    </xdr:from>
    <xdr:to>
      <xdr:col>15</xdr:col>
      <xdr:colOff>164206</xdr:colOff>
      <xdr:row>26</xdr:row>
      <xdr:rowOff>230285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27035E8-E0D9-4257-9938-F4338F47AC29}"/>
            </a:ext>
          </a:extLst>
        </xdr:cNvPr>
        <xdr:cNvSpPr txBox="1"/>
      </xdr:nvSpPr>
      <xdr:spPr>
        <a:xfrm>
          <a:off x="10174381" y="9677960"/>
          <a:ext cx="1296000" cy="14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00" b="1">
              <a:solidFill>
                <a:srgbClr val="FF0000"/>
              </a:solidFill>
            </a:rPr>
            <a:t>Need Higher Amount</a:t>
          </a:r>
        </a:p>
      </xdr:txBody>
    </xdr:sp>
    <xdr:clientData/>
  </xdr:twoCellAnchor>
  <xdr:twoCellAnchor>
    <xdr:from>
      <xdr:col>13</xdr:col>
      <xdr:colOff>2143125</xdr:colOff>
      <xdr:row>26</xdr:row>
      <xdr:rowOff>57150</xdr:rowOff>
    </xdr:from>
    <xdr:to>
      <xdr:col>15</xdr:col>
      <xdr:colOff>567075</xdr:colOff>
      <xdr:row>26</xdr:row>
      <xdr:rowOff>57150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37B9D593-2F66-2A72-4810-4FCA0B0DD51A}"/>
            </a:ext>
          </a:extLst>
        </xdr:cNvPr>
        <xdr:cNvCxnSpPr/>
      </xdr:nvCxnSpPr>
      <xdr:spPr>
        <a:xfrm>
          <a:off x="10001250" y="9648825"/>
          <a:ext cx="1872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2245994</xdr:colOff>
      <xdr:row>27</xdr:row>
      <xdr:rowOff>270510</xdr:rowOff>
    </xdr:from>
    <xdr:to>
      <xdr:col>9</xdr:col>
      <xdr:colOff>2960369</xdr:colOff>
      <xdr:row>30</xdr:row>
      <xdr:rowOff>60960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28922705-5617-46F3-9D73-DD215AE93A0E}"/>
            </a:ext>
          </a:extLst>
        </xdr:cNvPr>
        <xdr:cNvCxnSpPr/>
      </xdr:nvCxnSpPr>
      <xdr:spPr>
        <a:xfrm flipV="1">
          <a:off x="4817744" y="10138410"/>
          <a:ext cx="714375" cy="1076325"/>
        </a:xfrm>
        <a:prstGeom prst="bentConnector3">
          <a:avLst>
            <a:gd name="adj1" fmla="val 132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496981</xdr:colOff>
      <xdr:row>30</xdr:row>
      <xdr:rowOff>29135</xdr:rowOff>
    </xdr:from>
    <xdr:to>
      <xdr:col>9</xdr:col>
      <xdr:colOff>1324981</xdr:colOff>
      <xdr:row>30</xdr:row>
      <xdr:rowOff>245695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B0EC6F8-39C8-4C32-AEE9-C98F0FA8C5D2}"/>
            </a:ext>
          </a:extLst>
        </xdr:cNvPr>
        <xdr:cNvSpPr txBox="1"/>
      </xdr:nvSpPr>
      <xdr:spPr>
        <a:xfrm>
          <a:off x="3068731" y="11182910"/>
          <a:ext cx="828000" cy="216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00" b="1">
              <a:solidFill>
                <a:srgbClr val="FF0000"/>
              </a:solidFill>
            </a:rPr>
            <a:t>Proceed</a:t>
          </a:r>
        </a:p>
      </xdr:txBody>
    </xdr:sp>
    <xdr:clientData/>
  </xdr:twoCellAnchor>
  <xdr:twoCellAnchor>
    <xdr:from>
      <xdr:col>9</xdr:col>
      <xdr:colOff>2297206</xdr:colOff>
      <xdr:row>30</xdr:row>
      <xdr:rowOff>95810</xdr:rowOff>
    </xdr:from>
    <xdr:to>
      <xdr:col>9</xdr:col>
      <xdr:colOff>2909206</xdr:colOff>
      <xdr:row>30</xdr:row>
      <xdr:rowOff>239810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85C8551-7D3A-4F07-B1DF-3EAEC99E824D}"/>
            </a:ext>
          </a:extLst>
        </xdr:cNvPr>
        <xdr:cNvSpPr txBox="1"/>
      </xdr:nvSpPr>
      <xdr:spPr>
        <a:xfrm>
          <a:off x="4868956" y="11249585"/>
          <a:ext cx="612000" cy="14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00" b="1">
              <a:solidFill>
                <a:srgbClr val="FF0000"/>
              </a:solidFill>
            </a:rPr>
            <a:t>Modify</a:t>
          </a:r>
        </a:p>
      </xdr:txBody>
    </xdr:sp>
    <xdr:clientData/>
  </xdr:twoCellAnchor>
  <xdr:twoCellAnchor>
    <xdr:from>
      <xdr:col>9</xdr:col>
      <xdr:colOff>268381</xdr:colOff>
      <xdr:row>26</xdr:row>
      <xdr:rowOff>29135</xdr:rowOff>
    </xdr:from>
    <xdr:to>
      <xdr:col>9</xdr:col>
      <xdr:colOff>1096381</xdr:colOff>
      <xdr:row>26</xdr:row>
      <xdr:rowOff>245695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5AC77DB-0556-4147-A801-439DB7BF1507}"/>
            </a:ext>
          </a:extLst>
        </xdr:cNvPr>
        <xdr:cNvSpPr txBox="1"/>
      </xdr:nvSpPr>
      <xdr:spPr>
        <a:xfrm>
          <a:off x="2840131" y="9620810"/>
          <a:ext cx="828000" cy="216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00" b="1">
              <a:solidFill>
                <a:srgbClr val="FF0000"/>
              </a:solidFill>
            </a:rPr>
            <a:t>Proceed</a:t>
          </a:r>
        </a:p>
      </xdr:txBody>
    </xdr:sp>
    <xdr:clientData/>
  </xdr:twoCellAnchor>
  <xdr:twoCellAnchor>
    <xdr:from>
      <xdr:col>9</xdr:col>
      <xdr:colOff>2373406</xdr:colOff>
      <xdr:row>26</xdr:row>
      <xdr:rowOff>86285</xdr:rowOff>
    </xdr:from>
    <xdr:to>
      <xdr:col>12</xdr:col>
      <xdr:colOff>144631</xdr:colOff>
      <xdr:row>26</xdr:row>
      <xdr:rowOff>230285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FD4957B9-C137-4927-954C-F7BFABFA3909}"/>
            </a:ext>
          </a:extLst>
        </xdr:cNvPr>
        <xdr:cNvSpPr txBox="1"/>
      </xdr:nvSpPr>
      <xdr:spPr>
        <a:xfrm>
          <a:off x="4945156" y="9677960"/>
          <a:ext cx="2448000" cy="14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00" b="1">
              <a:solidFill>
                <a:srgbClr val="FF0000"/>
              </a:solidFill>
            </a:rPr>
            <a:t>Need Higher Amount. (Move to Step</a:t>
          </a:r>
          <a:r>
            <a:rPr lang="en-IN" sz="1000" b="1" baseline="0">
              <a:solidFill>
                <a:srgbClr val="FF0000"/>
              </a:solidFill>
            </a:rPr>
            <a:t> [24] )</a:t>
          </a:r>
          <a:endParaRPr lang="en-IN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2571750</xdr:colOff>
      <xdr:row>26</xdr:row>
      <xdr:rowOff>47625</xdr:rowOff>
    </xdr:from>
    <xdr:to>
      <xdr:col>11</xdr:col>
      <xdr:colOff>590550</xdr:colOff>
      <xdr:row>26</xdr:row>
      <xdr:rowOff>47625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5A4594B9-EE9E-47ED-B7C3-934198FBE122}"/>
            </a:ext>
          </a:extLst>
        </xdr:cNvPr>
        <xdr:cNvCxnSpPr/>
      </xdr:nvCxnSpPr>
      <xdr:spPr>
        <a:xfrm>
          <a:off x="5143500" y="9639300"/>
          <a:ext cx="208597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220756</xdr:colOff>
      <xdr:row>48</xdr:row>
      <xdr:rowOff>29135</xdr:rowOff>
    </xdr:from>
    <xdr:to>
      <xdr:col>9</xdr:col>
      <xdr:colOff>1408756</xdr:colOff>
      <xdr:row>48</xdr:row>
      <xdr:rowOff>245695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A2070F4-35D7-4AEB-A50B-0C4DF248A220}"/>
            </a:ext>
          </a:extLst>
        </xdr:cNvPr>
        <xdr:cNvSpPr txBox="1"/>
      </xdr:nvSpPr>
      <xdr:spPr>
        <a:xfrm>
          <a:off x="2792506" y="18212360"/>
          <a:ext cx="1188000" cy="216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00" b="1">
              <a:solidFill>
                <a:srgbClr val="FF0000"/>
              </a:solidFill>
            </a:rPr>
            <a:t>Consent Received</a:t>
          </a:r>
        </a:p>
      </xdr:txBody>
    </xdr:sp>
    <xdr:clientData/>
  </xdr:twoCellAnchor>
  <xdr:twoCellAnchor>
    <xdr:from>
      <xdr:col>9</xdr:col>
      <xdr:colOff>2344831</xdr:colOff>
      <xdr:row>48</xdr:row>
      <xdr:rowOff>95810</xdr:rowOff>
    </xdr:from>
    <xdr:to>
      <xdr:col>11</xdr:col>
      <xdr:colOff>293656</xdr:colOff>
      <xdr:row>48</xdr:row>
      <xdr:rowOff>239810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5582DB5-E93B-4BF6-A828-70942AC32F32}"/>
            </a:ext>
          </a:extLst>
        </xdr:cNvPr>
        <xdr:cNvSpPr txBox="1"/>
      </xdr:nvSpPr>
      <xdr:spPr>
        <a:xfrm>
          <a:off x="4916581" y="18279035"/>
          <a:ext cx="2016000" cy="1440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800" b="1">
              <a:solidFill>
                <a:srgbClr val="FF0000"/>
              </a:solidFill>
            </a:rPr>
            <a:t>Consent not</a:t>
          </a:r>
          <a:r>
            <a:rPr lang="en-IN" sz="800" b="1" baseline="0">
              <a:solidFill>
                <a:srgbClr val="FF0000"/>
              </a:solidFill>
            </a:rPr>
            <a:t> received. </a:t>
          </a:r>
          <a:r>
            <a:rPr lang="en-IN" sz="8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(Move to Step</a:t>
          </a:r>
          <a:r>
            <a:rPr lang="en-IN" sz="8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[24] )</a:t>
          </a:r>
          <a:endParaRPr lang="en-IN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2324100</xdr:colOff>
      <xdr:row>48</xdr:row>
      <xdr:rowOff>57150</xdr:rowOff>
    </xdr:from>
    <xdr:to>
      <xdr:col>11</xdr:col>
      <xdr:colOff>342900</xdr:colOff>
      <xdr:row>48</xdr:row>
      <xdr:rowOff>57150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FA674291-7B1A-4E49-BDDD-A0D03BFA9913}"/>
            </a:ext>
          </a:extLst>
        </xdr:cNvPr>
        <xdr:cNvCxnSpPr/>
      </xdr:nvCxnSpPr>
      <xdr:spPr>
        <a:xfrm>
          <a:off x="4895850" y="18240375"/>
          <a:ext cx="208597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1590675</xdr:colOff>
      <xdr:row>16</xdr:row>
      <xdr:rowOff>28575</xdr:rowOff>
    </xdr:from>
    <xdr:to>
      <xdr:col>9</xdr:col>
      <xdr:colOff>2202675</xdr:colOff>
      <xdr:row>16</xdr:row>
      <xdr:rowOff>245135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343006D2-FDB3-4BE9-98AE-BAFBBE4A47F1}"/>
            </a:ext>
          </a:extLst>
        </xdr:cNvPr>
        <xdr:cNvSpPr txBox="1"/>
      </xdr:nvSpPr>
      <xdr:spPr>
        <a:xfrm>
          <a:off x="4924425" y="5715000"/>
          <a:ext cx="612000" cy="216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000" b="1">
              <a:solidFill>
                <a:srgbClr val="FF0000"/>
              </a:solidFill>
            </a:rPr>
            <a:t>Correct</a:t>
          </a:r>
        </a:p>
      </xdr:txBody>
    </xdr:sp>
    <xdr:clientData/>
  </xdr:twoCellAnchor>
  <xdr:twoCellAnchor>
    <xdr:from>
      <xdr:col>8</xdr:col>
      <xdr:colOff>0</xdr:colOff>
      <xdr:row>16</xdr:row>
      <xdr:rowOff>47625</xdr:rowOff>
    </xdr:from>
    <xdr:to>
      <xdr:col>9</xdr:col>
      <xdr:colOff>749025</xdr:colOff>
      <xdr:row>16</xdr:row>
      <xdr:rowOff>47625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DE19F2CD-5568-47C1-8A62-8E22A8201C3A}"/>
            </a:ext>
          </a:extLst>
        </xdr:cNvPr>
        <xdr:cNvCxnSpPr/>
      </xdr:nvCxnSpPr>
      <xdr:spPr>
        <a:xfrm flipH="1">
          <a:off x="2390775" y="5734050"/>
          <a:ext cx="1692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123266</xdr:colOff>
      <xdr:row>31</xdr:row>
      <xdr:rowOff>22411</xdr:rowOff>
    </xdr:from>
    <xdr:to>
      <xdr:col>8</xdr:col>
      <xdr:colOff>212913</xdr:colOff>
      <xdr:row>31</xdr:row>
      <xdr:rowOff>68130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E91E81F-F744-D515-BF40-F85724D753BE}"/>
            </a:ext>
          </a:extLst>
        </xdr:cNvPr>
        <xdr:cNvSpPr/>
      </xdr:nvSpPr>
      <xdr:spPr>
        <a:xfrm>
          <a:off x="2510119" y="11586882"/>
          <a:ext cx="89647" cy="457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925608</xdr:colOff>
      <xdr:row>17</xdr:row>
      <xdr:rowOff>219635</xdr:rowOff>
    </xdr:from>
    <xdr:to>
      <xdr:col>9</xdr:col>
      <xdr:colOff>73961</xdr:colOff>
      <xdr:row>17</xdr:row>
      <xdr:rowOff>265354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6F94845-097A-4C13-8CBA-264ABF9AE36D}"/>
            </a:ext>
          </a:extLst>
        </xdr:cNvPr>
        <xdr:cNvSpPr/>
      </xdr:nvSpPr>
      <xdr:spPr>
        <a:xfrm>
          <a:off x="3312461" y="6214782"/>
          <a:ext cx="89647" cy="457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168090</xdr:colOff>
      <xdr:row>17</xdr:row>
      <xdr:rowOff>242495</xdr:rowOff>
    </xdr:from>
    <xdr:to>
      <xdr:col>8</xdr:col>
      <xdr:colOff>925608</xdr:colOff>
      <xdr:row>31</xdr:row>
      <xdr:rowOff>22411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61129C58-1EBB-BF05-4AF4-D95E6B0F1F42}"/>
            </a:ext>
          </a:extLst>
        </xdr:cNvPr>
        <xdr:cNvCxnSpPr>
          <a:stCxn id="4" idx="0"/>
          <a:endCxn id="5" idx="1"/>
        </xdr:cNvCxnSpPr>
      </xdr:nvCxnSpPr>
      <xdr:spPr>
        <a:xfrm rot="5400000" flipH="1" flipV="1">
          <a:off x="259082" y="8533503"/>
          <a:ext cx="5349240" cy="757518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11206</xdr:colOff>
      <xdr:row>31</xdr:row>
      <xdr:rowOff>22411</xdr:rowOff>
    </xdr:from>
    <xdr:to>
      <xdr:col>8</xdr:col>
      <xdr:colOff>168090</xdr:colOff>
      <xdr:row>31</xdr:row>
      <xdr:rowOff>22411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4419883-42E9-418C-E365-7303DE612A53}"/>
            </a:ext>
          </a:extLst>
        </xdr:cNvPr>
        <xdr:cNvCxnSpPr>
          <a:endCxn id="4" idx="0"/>
        </xdr:cNvCxnSpPr>
      </xdr:nvCxnSpPr>
      <xdr:spPr>
        <a:xfrm>
          <a:off x="2398059" y="11586882"/>
          <a:ext cx="15688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9AD1F-941B-469A-A497-452168F6B904}" name="CustomerMaster" displayName="CustomerMaster" ref="A1:C13" totalsRowShown="0" headerRowDxfId="1">
  <autoFilter ref="A1:C13" xr:uid="{66E9AD1F-941B-469A-A497-452168F6B904}"/>
  <tableColumns count="3">
    <tableColumn id="1" xr3:uid="{034E1AC3-16D8-4776-8BF6-937B78565AD5}" name="Parameter" dataDxfId="0"/>
    <tableColumn id="2" xr3:uid="{B38D6A51-94FF-47A7-9D08-86F65FD79C03}" name="ETB Details"/>
    <tableColumn id="3" xr3:uid="{03A4462A-0862-43C0-B0A1-BED4C18F513A}" name="NTB 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ishabh-mittal@newgensof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rishabh-mittal@newgensoft.com" TargetMode="External"/><Relationship Id="rId1" Type="http://schemas.openxmlformats.org/officeDocument/2006/relationships/hyperlink" Target="mailto:rishabh-mittal@newgen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0E1C-F64A-45A9-95A5-D5F457302B36}">
  <dimension ref="B1:Q54"/>
  <sheetViews>
    <sheetView showGridLines="0" topLeftCell="A7" zoomScale="85" zoomScaleNormal="85" workbookViewId="0">
      <selection activeCell="J46" sqref="J46"/>
    </sheetView>
  </sheetViews>
  <sheetFormatPr defaultRowHeight="15" x14ac:dyDescent="0.25"/>
  <cols>
    <col min="1" max="5" width="2.85546875" customWidth="1"/>
    <col min="7" max="7" width="2.85546875" customWidth="1"/>
    <col min="8" max="8" width="9.5703125" customWidth="1"/>
    <col min="9" max="9" width="14.140625" customWidth="1"/>
    <col min="10" max="10" width="44.5703125" bestFit="1" customWidth="1"/>
    <col min="11" max="11" width="16.42578125" customWidth="1"/>
    <col min="14" max="14" width="42.5703125" customWidth="1"/>
    <col min="17" max="17" width="31.28515625" customWidth="1"/>
  </cols>
  <sheetData>
    <row r="1" spans="2:16" s="1" customFormat="1" ht="16.5" customHeight="1" x14ac:dyDescent="0.25">
      <c r="F1" s="6"/>
      <c r="G1" s="6"/>
      <c r="H1" s="6"/>
      <c r="I1" s="6"/>
      <c r="J1" s="7" t="s">
        <v>19</v>
      </c>
      <c r="K1" s="6"/>
      <c r="L1" s="6"/>
      <c r="M1" s="6"/>
      <c r="N1" s="6"/>
      <c r="O1" s="6"/>
      <c r="P1" s="6"/>
    </row>
    <row r="2" spans="2:16" s="1" customFormat="1" x14ac:dyDescent="0.25">
      <c r="I2" s="8"/>
      <c r="J2" s="9" t="s">
        <v>18</v>
      </c>
      <c r="K2" s="8"/>
    </row>
    <row r="3" spans="2:16" ht="7.5" customHeight="1" x14ac:dyDescent="0.25">
      <c r="I3" s="2"/>
      <c r="J3" s="2"/>
      <c r="K3" s="2"/>
    </row>
    <row r="4" spans="2:16" ht="39.950000000000003" customHeight="1" x14ac:dyDescent="0.25">
      <c r="I4" s="2"/>
      <c r="J4" s="3" t="s">
        <v>156</v>
      </c>
      <c r="K4" s="2" t="s">
        <v>158</v>
      </c>
    </row>
    <row r="5" spans="2:16" ht="21.95" customHeight="1" x14ac:dyDescent="0.25">
      <c r="I5" s="2"/>
      <c r="J5" s="4" t="s">
        <v>0</v>
      </c>
      <c r="K5" s="2"/>
    </row>
    <row r="6" spans="2:16" ht="39.950000000000003" customHeight="1" x14ac:dyDescent="0.25">
      <c r="I6" s="2"/>
      <c r="J6" s="3" t="s">
        <v>157</v>
      </c>
      <c r="K6" s="2"/>
    </row>
    <row r="7" spans="2:16" ht="21.95" customHeight="1" x14ac:dyDescent="0.25">
      <c r="I7" s="2"/>
      <c r="J7" s="4" t="s">
        <v>0</v>
      </c>
      <c r="K7" s="2"/>
    </row>
    <row r="8" spans="2:16" ht="39.950000000000003" customHeight="1" x14ac:dyDescent="0.25">
      <c r="I8" s="2"/>
      <c r="J8" s="3" t="s">
        <v>4</v>
      </c>
      <c r="K8" s="63" t="s">
        <v>159</v>
      </c>
    </row>
    <row r="9" spans="2:16" ht="21.95" customHeight="1" x14ac:dyDescent="0.25">
      <c r="I9" s="2"/>
      <c r="J9" s="4" t="s">
        <v>0</v>
      </c>
      <c r="K9" s="2"/>
    </row>
    <row r="10" spans="2:16" ht="39.950000000000003" customHeight="1" x14ac:dyDescent="0.25">
      <c r="I10" s="2"/>
      <c r="J10" s="3" t="s">
        <v>21</v>
      </c>
      <c r="K10" s="2" t="s">
        <v>160</v>
      </c>
    </row>
    <row r="11" spans="2:16" ht="21.95" customHeight="1" x14ac:dyDescent="0.25">
      <c r="I11" s="2"/>
      <c r="J11" s="4" t="s">
        <v>0</v>
      </c>
      <c r="K11" s="2"/>
    </row>
    <row r="12" spans="2:16" ht="39.950000000000003" customHeight="1" x14ac:dyDescent="0.25">
      <c r="I12" s="2"/>
      <c r="J12" s="3" t="s">
        <v>20</v>
      </c>
      <c r="K12" s="2"/>
      <c r="O12" s="10"/>
    </row>
    <row r="13" spans="2:16" ht="21.95" customHeight="1" x14ac:dyDescent="0.25">
      <c r="I13" s="2"/>
      <c r="J13" s="4" t="s">
        <v>0</v>
      </c>
      <c r="K13" s="2"/>
    </row>
    <row r="14" spans="2:16" ht="39.950000000000003" customHeight="1" x14ac:dyDescent="0.25">
      <c r="I14" s="2"/>
      <c r="J14" s="3" t="s">
        <v>5</v>
      </c>
      <c r="K14" s="2"/>
      <c r="N14" s="3" t="s">
        <v>23</v>
      </c>
    </row>
    <row r="15" spans="2:16" ht="21.95" customHeight="1" thickBot="1" x14ac:dyDescent="0.3">
      <c r="I15" s="2"/>
      <c r="J15" s="4" t="s">
        <v>0</v>
      </c>
      <c r="K15" s="2"/>
      <c r="N15" s="4"/>
    </row>
    <row r="16" spans="2:16" ht="39.950000000000003" customHeight="1" x14ac:dyDescent="0.25">
      <c r="B16" s="33" t="s">
        <v>28</v>
      </c>
      <c r="C16" s="34"/>
      <c r="D16" s="34"/>
      <c r="E16" s="34"/>
      <c r="F16" s="34"/>
      <c r="G16" s="34"/>
      <c r="H16" s="35"/>
      <c r="I16" s="2"/>
      <c r="J16" s="3" t="s">
        <v>6</v>
      </c>
      <c r="K16" s="2"/>
    </row>
    <row r="17" spans="2:17" ht="21.95" customHeight="1" x14ac:dyDescent="0.25">
      <c r="B17" s="36"/>
      <c r="C17" s="59"/>
      <c r="D17" s="59"/>
      <c r="E17" s="59"/>
      <c r="F17" s="59"/>
      <c r="G17" s="59"/>
      <c r="H17" s="37"/>
      <c r="I17" s="2"/>
      <c r="J17" s="4" t="s">
        <v>0</v>
      </c>
      <c r="K17" s="5"/>
    </row>
    <row r="18" spans="2:17" ht="45.75" customHeight="1" x14ac:dyDescent="0.25">
      <c r="B18" s="36"/>
      <c r="C18" s="59"/>
      <c r="D18" s="59"/>
      <c r="E18" s="59"/>
      <c r="F18" s="59"/>
      <c r="G18" s="59"/>
      <c r="H18" s="37"/>
      <c r="I18" s="2"/>
      <c r="J18" s="58" t="s">
        <v>152</v>
      </c>
      <c r="K18" s="2"/>
    </row>
    <row r="19" spans="2:17" ht="21.95" customHeight="1" x14ac:dyDescent="0.25">
      <c r="B19" s="36"/>
      <c r="C19" s="59"/>
      <c r="D19" s="59"/>
      <c r="E19" s="59"/>
      <c r="F19" s="59"/>
      <c r="G19" s="59"/>
      <c r="H19" s="37"/>
      <c r="I19" s="2"/>
      <c r="J19" s="4" t="s">
        <v>0</v>
      </c>
      <c r="K19" s="2"/>
    </row>
    <row r="20" spans="2:17" ht="39.950000000000003" customHeight="1" x14ac:dyDescent="0.25">
      <c r="B20" s="36"/>
      <c r="C20" s="59"/>
      <c r="D20" s="59"/>
      <c r="E20" s="59"/>
      <c r="F20" s="59"/>
      <c r="G20" s="59"/>
      <c r="H20" s="37"/>
      <c r="I20" s="2"/>
      <c r="J20" s="3" t="s">
        <v>7</v>
      </c>
      <c r="K20" s="2"/>
      <c r="N20" s="3" t="s">
        <v>7</v>
      </c>
    </row>
    <row r="21" spans="2:17" ht="21.95" customHeight="1" x14ac:dyDescent="0.25">
      <c r="B21" s="36"/>
      <c r="C21" s="59"/>
      <c r="D21" s="59"/>
      <c r="E21" s="59"/>
      <c r="F21" s="59"/>
      <c r="G21" s="59"/>
      <c r="H21" s="37"/>
      <c r="I21" s="2"/>
      <c r="J21" s="4" t="s">
        <v>0</v>
      </c>
      <c r="K21" s="2"/>
    </row>
    <row r="22" spans="2:17" ht="39.950000000000003" customHeight="1" x14ac:dyDescent="0.25">
      <c r="B22" s="36"/>
      <c r="C22" s="59"/>
      <c r="D22" s="59"/>
      <c r="E22" s="59"/>
      <c r="F22" s="59"/>
      <c r="G22" s="59"/>
      <c r="H22" s="37"/>
      <c r="I22" s="2"/>
      <c r="J22" s="3" t="s">
        <v>8</v>
      </c>
      <c r="K22" s="2"/>
    </row>
    <row r="23" spans="2:17" ht="21.95" customHeight="1" x14ac:dyDescent="0.25">
      <c r="B23" s="36"/>
      <c r="C23" s="59"/>
      <c r="D23" s="59"/>
      <c r="E23" s="59"/>
      <c r="F23" s="59"/>
      <c r="G23" s="59"/>
      <c r="H23" s="37"/>
      <c r="I23" s="2"/>
      <c r="J23" s="4" t="s">
        <v>0</v>
      </c>
      <c r="K23" s="2"/>
    </row>
    <row r="24" spans="2:17" ht="39.950000000000003" customHeight="1" x14ac:dyDescent="0.25">
      <c r="B24" s="36"/>
      <c r="C24" s="59"/>
      <c r="D24" s="59"/>
      <c r="E24" s="59"/>
      <c r="F24" s="59"/>
      <c r="G24" s="59"/>
      <c r="H24" s="37"/>
      <c r="I24" s="2"/>
      <c r="J24" s="3" t="s">
        <v>9</v>
      </c>
      <c r="K24" s="2"/>
      <c r="N24" s="3" t="s">
        <v>24</v>
      </c>
    </row>
    <row r="25" spans="2:17" ht="21.95" customHeight="1" thickBot="1" x14ac:dyDescent="0.3">
      <c r="B25" s="38"/>
      <c r="C25" s="39"/>
      <c r="D25" s="39"/>
      <c r="E25" s="39"/>
      <c r="F25" s="39"/>
      <c r="G25" s="39"/>
      <c r="H25" s="40"/>
      <c r="I25" s="2"/>
      <c r="J25" s="4" t="s">
        <v>0</v>
      </c>
      <c r="K25" s="2"/>
      <c r="N25" s="4" t="s">
        <v>0</v>
      </c>
    </row>
    <row r="26" spans="2:17" ht="39.950000000000003" customHeight="1" thickBot="1" x14ac:dyDescent="0.3">
      <c r="B26" s="60"/>
      <c r="C26" s="60"/>
      <c r="D26" s="60"/>
      <c r="E26" s="60"/>
      <c r="F26" s="4" t="s">
        <v>0</v>
      </c>
      <c r="G26" s="60"/>
      <c r="H26" s="60"/>
      <c r="I26" s="2"/>
      <c r="J26" s="3" t="s">
        <v>10</v>
      </c>
      <c r="K26" s="2"/>
      <c r="N26" s="3" t="s">
        <v>10</v>
      </c>
    </row>
    <row r="27" spans="2:17" ht="21.95" customHeight="1" x14ac:dyDescent="0.25">
      <c r="B27" s="65" t="s">
        <v>163</v>
      </c>
      <c r="C27" s="66"/>
      <c r="D27" s="66"/>
      <c r="E27" s="66"/>
      <c r="F27" s="66"/>
      <c r="G27" s="66"/>
      <c r="H27" s="67"/>
      <c r="I27" s="2"/>
      <c r="J27" s="4" t="s">
        <v>26</v>
      </c>
      <c r="K27" s="2"/>
      <c r="N27" s="4" t="s">
        <v>26</v>
      </c>
      <c r="Q27" s="30" t="s">
        <v>27</v>
      </c>
    </row>
    <row r="28" spans="2:17" ht="39.950000000000003" customHeight="1" x14ac:dyDescent="0.25">
      <c r="B28" s="68"/>
      <c r="C28" s="69"/>
      <c r="D28" s="69"/>
      <c r="E28" s="69"/>
      <c r="F28" s="69"/>
      <c r="G28" s="69"/>
      <c r="H28" s="70"/>
      <c r="I28" s="2"/>
      <c r="J28" s="3" t="s">
        <v>17</v>
      </c>
      <c r="K28" s="2"/>
      <c r="N28" s="11" t="s">
        <v>25</v>
      </c>
      <c r="Q28" s="31"/>
    </row>
    <row r="29" spans="2:17" ht="21.95" customHeight="1" thickBot="1" x14ac:dyDescent="0.3">
      <c r="B29" s="71"/>
      <c r="C29" s="72"/>
      <c r="D29" s="72"/>
      <c r="E29" s="72"/>
      <c r="F29" s="72"/>
      <c r="G29" s="72"/>
      <c r="H29" s="73"/>
      <c r="I29" s="2"/>
      <c r="J29" s="4" t="s">
        <v>0</v>
      </c>
      <c r="K29" s="2"/>
      <c r="N29" s="4" t="s">
        <v>0</v>
      </c>
      <c r="Q29" s="32"/>
    </row>
    <row r="30" spans="2:17" ht="39.950000000000003" customHeight="1" thickBot="1" x14ac:dyDescent="0.3">
      <c r="B30" s="12"/>
      <c r="C30" s="12"/>
      <c r="D30" s="12"/>
      <c r="E30" s="12"/>
      <c r="F30" s="4" t="s">
        <v>0</v>
      </c>
      <c r="G30" s="12"/>
      <c r="H30" s="12"/>
      <c r="I30" s="2"/>
      <c r="J30" s="3" t="s">
        <v>11</v>
      </c>
      <c r="K30" s="2"/>
      <c r="N30" s="3" t="s">
        <v>11</v>
      </c>
    </row>
    <row r="31" spans="2:17" ht="21.95" customHeight="1" x14ac:dyDescent="0.25">
      <c r="B31" s="33" t="s">
        <v>153</v>
      </c>
      <c r="C31" s="34"/>
      <c r="D31" s="34"/>
      <c r="E31" s="34"/>
      <c r="F31" s="34"/>
      <c r="G31" s="34"/>
      <c r="H31" s="35"/>
      <c r="I31" s="2"/>
      <c r="J31" s="4" t="s">
        <v>26</v>
      </c>
      <c r="K31" s="2"/>
      <c r="N31" s="4" t="s">
        <v>0</v>
      </c>
    </row>
    <row r="32" spans="2:17" ht="39.950000000000003" customHeight="1" thickBot="1" x14ac:dyDescent="0.3">
      <c r="B32" s="38"/>
      <c r="C32" s="39"/>
      <c r="D32" s="39"/>
      <c r="E32" s="39"/>
      <c r="F32" s="39"/>
      <c r="G32" s="39"/>
      <c r="H32" s="40"/>
      <c r="I32" s="2"/>
      <c r="J32" s="3" t="s">
        <v>12</v>
      </c>
      <c r="K32" s="2"/>
      <c r="N32" s="3" t="s">
        <v>12</v>
      </c>
    </row>
    <row r="33" spans="2:11" ht="21.95" customHeight="1" x14ac:dyDescent="0.25">
      <c r="B33" s="12"/>
      <c r="C33" s="12"/>
      <c r="D33" s="12"/>
      <c r="E33" s="12"/>
      <c r="F33" s="12"/>
      <c r="G33" s="12"/>
      <c r="H33" s="12"/>
      <c r="I33" s="2"/>
      <c r="J33" s="4" t="s">
        <v>0</v>
      </c>
      <c r="K33" s="2"/>
    </row>
    <row r="34" spans="2:11" ht="39.950000000000003" customHeight="1" x14ac:dyDescent="0.25">
      <c r="B34" s="12"/>
      <c r="C34" s="12"/>
      <c r="D34" s="12"/>
      <c r="E34" s="12"/>
      <c r="F34" s="12"/>
      <c r="G34" s="12"/>
      <c r="H34" s="12"/>
      <c r="I34" s="2"/>
      <c r="J34" s="3" t="s">
        <v>1</v>
      </c>
      <c r="K34" s="2"/>
    </row>
    <row r="35" spans="2:11" ht="21.95" customHeight="1" x14ac:dyDescent="0.25">
      <c r="B35" s="12"/>
      <c r="C35" s="12"/>
      <c r="D35" s="12"/>
      <c r="E35" s="12"/>
      <c r="F35" s="12"/>
      <c r="G35" s="12"/>
      <c r="H35" s="12"/>
      <c r="I35" s="2"/>
      <c r="J35" s="4" t="s">
        <v>0</v>
      </c>
      <c r="K35" s="2"/>
    </row>
    <row r="36" spans="2:11" ht="39.950000000000003" customHeight="1" x14ac:dyDescent="0.25">
      <c r="B36" s="12"/>
      <c r="C36" s="12"/>
      <c r="D36" s="12"/>
      <c r="E36" s="12"/>
      <c r="F36" s="12"/>
      <c r="G36" s="12"/>
      <c r="H36" s="12"/>
      <c r="I36" s="2"/>
      <c r="J36" s="3" t="s">
        <v>13</v>
      </c>
      <c r="K36" s="2"/>
    </row>
    <row r="37" spans="2:11" ht="21.95" customHeight="1" x14ac:dyDescent="0.25">
      <c r="B37" s="12"/>
      <c r="C37" s="12"/>
      <c r="D37" s="12"/>
      <c r="E37" s="12"/>
      <c r="F37" s="12"/>
      <c r="G37" s="12"/>
      <c r="H37" s="12"/>
      <c r="I37" s="2"/>
      <c r="J37" s="4" t="s">
        <v>0</v>
      </c>
      <c r="K37" s="2"/>
    </row>
    <row r="38" spans="2:11" ht="39.950000000000003" customHeight="1" x14ac:dyDescent="0.25">
      <c r="B38" s="12"/>
      <c r="C38" s="12"/>
      <c r="D38" s="12"/>
      <c r="E38" s="12"/>
      <c r="F38" s="12"/>
      <c r="G38" s="12"/>
      <c r="H38" s="12"/>
      <c r="I38" s="2"/>
      <c r="J38" s="3" t="s">
        <v>3</v>
      </c>
      <c r="K38" s="2"/>
    </row>
    <row r="39" spans="2:11" ht="21.95" customHeight="1" x14ac:dyDescent="0.25">
      <c r="B39" s="12"/>
      <c r="C39" s="12"/>
      <c r="D39" s="12"/>
      <c r="E39" s="12"/>
      <c r="F39" s="12"/>
      <c r="G39" s="12"/>
      <c r="H39" s="12"/>
      <c r="I39" s="2"/>
      <c r="J39" s="4" t="s">
        <v>0</v>
      </c>
      <c r="K39" s="2"/>
    </row>
    <row r="40" spans="2:11" ht="39.950000000000003" customHeight="1" x14ac:dyDescent="0.25">
      <c r="B40" s="12"/>
      <c r="C40" s="12"/>
      <c r="D40" s="12"/>
      <c r="E40" s="12"/>
      <c r="F40" s="12"/>
      <c r="G40" s="12"/>
      <c r="H40" s="12"/>
      <c r="I40" s="2"/>
      <c r="J40" s="3" t="s">
        <v>2</v>
      </c>
      <c r="K40" s="2"/>
    </row>
    <row r="41" spans="2:11" ht="21.95" customHeight="1" x14ac:dyDescent="0.25">
      <c r="B41" s="12"/>
      <c r="C41" s="12"/>
      <c r="D41" s="12"/>
      <c r="E41" s="12"/>
      <c r="F41" s="12"/>
      <c r="G41" s="12"/>
      <c r="H41" s="12"/>
      <c r="I41" s="2"/>
      <c r="J41" s="4" t="s">
        <v>0</v>
      </c>
      <c r="K41" s="2"/>
    </row>
    <row r="42" spans="2:11" ht="69.75" customHeight="1" x14ac:dyDescent="0.25">
      <c r="B42" s="12"/>
      <c r="C42" s="12"/>
      <c r="D42" s="12"/>
      <c r="E42" s="12"/>
      <c r="F42" s="12"/>
      <c r="G42" s="12"/>
      <c r="H42" s="12"/>
      <c r="I42" s="2"/>
      <c r="J42" s="3" t="s">
        <v>151</v>
      </c>
      <c r="K42" s="2"/>
    </row>
    <row r="43" spans="2:11" ht="21.95" customHeight="1" x14ac:dyDescent="0.25">
      <c r="B43" s="12"/>
      <c r="C43" s="12"/>
      <c r="D43" s="12"/>
      <c r="E43" s="12"/>
      <c r="F43" s="12"/>
      <c r="G43" s="12"/>
      <c r="H43" s="12"/>
      <c r="I43" s="2"/>
      <c r="J43" s="4" t="s">
        <v>0</v>
      </c>
      <c r="K43" s="2"/>
    </row>
    <row r="44" spans="2:11" ht="39.950000000000003" customHeight="1" x14ac:dyDescent="0.25">
      <c r="B44" s="12"/>
      <c r="C44" s="12"/>
      <c r="D44" s="12"/>
      <c r="E44" s="12"/>
      <c r="F44" s="12"/>
      <c r="G44" s="12"/>
      <c r="H44" s="12"/>
      <c r="I44" s="2"/>
      <c r="J44" s="3" t="s">
        <v>14</v>
      </c>
      <c r="K44" s="2"/>
    </row>
    <row r="45" spans="2:11" ht="21.95" customHeight="1" x14ac:dyDescent="0.25">
      <c r="B45" s="12"/>
      <c r="C45" s="12"/>
      <c r="D45" s="12"/>
      <c r="E45" s="12"/>
      <c r="F45" s="12"/>
      <c r="G45" s="12"/>
      <c r="H45" s="12"/>
      <c r="I45" s="2"/>
      <c r="J45" s="4" t="s">
        <v>0</v>
      </c>
      <c r="K45" s="2"/>
    </row>
    <row r="46" spans="2:11" ht="39.950000000000003" customHeight="1" x14ac:dyDescent="0.25">
      <c r="B46" s="12"/>
      <c r="C46" s="12"/>
      <c r="D46" s="12"/>
      <c r="E46" s="12"/>
      <c r="F46" s="12"/>
      <c r="G46" s="12"/>
      <c r="H46" s="12"/>
      <c r="I46" s="2"/>
      <c r="J46" s="3" t="s">
        <v>15</v>
      </c>
      <c r="K46" s="2"/>
    </row>
    <row r="47" spans="2:11" ht="21.95" customHeight="1" x14ac:dyDescent="0.25">
      <c r="I47" s="2"/>
      <c r="J47" s="4" t="s">
        <v>0</v>
      </c>
      <c r="K47" s="2"/>
    </row>
    <row r="48" spans="2:11" ht="39.950000000000003" customHeight="1" x14ac:dyDescent="0.25">
      <c r="I48" s="2"/>
      <c r="J48" s="3" t="s">
        <v>16</v>
      </c>
      <c r="K48" s="2"/>
    </row>
    <row r="49" spans="9:14" ht="21.95" customHeight="1" x14ac:dyDescent="0.25">
      <c r="I49" s="2"/>
      <c r="J49" s="4" t="s">
        <v>0</v>
      </c>
      <c r="K49" s="2"/>
    </row>
    <row r="50" spans="9:14" ht="39.950000000000003" customHeight="1" x14ac:dyDescent="0.25">
      <c r="I50" s="2"/>
      <c r="J50" s="3" t="s">
        <v>22</v>
      </c>
      <c r="K50" s="2"/>
    </row>
    <row r="51" spans="9:14" ht="21.95" customHeight="1" x14ac:dyDescent="0.25">
      <c r="I51" s="2"/>
      <c r="J51" s="4"/>
      <c r="K51" s="2"/>
    </row>
    <row r="52" spans="9:14" ht="35.1" customHeight="1" x14ac:dyDescent="0.25">
      <c r="I52" s="74"/>
      <c r="J52" s="75"/>
      <c r="K52" s="74"/>
      <c r="N52" t="s">
        <v>164</v>
      </c>
    </row>
    <row r="53" spans="9:14" x14ac:dyDescent="0.25">
      <c r="I53" s="2"/>
      <c r="J53" s="2"/>
      <c r="K53" s="2"/>
    </row>
    <row r="54" spans="9:14" x14ac:dyDescent="0.25">
      <c r="I54" s="2"/>
      <c r="J54" s="2"/>
      <c r="K54" s="2"/>
    </row>
  </sheetData>
  <mergeCells count="4">
    <mergeCell ref="B31:H32"/>
    <mergeCell ref="Q27:Q29"/>
    <mergeCell ref="B16:H25"/>
    <mergeCell ref="B27:H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57B3-1273-48B5-A84E-6E662EC162E2}">
  <dimension ref="A1:F29"/>
  <sheetViews>
    <sheetView topLeftCell="A13" workbookViewId="0">
      <selection activeCell="C19" activeCellId="5" sqref="C8 C9 C10 C16 C17 C19"/>
    </sheetView>
  </sheetViews>
  <sheetFormatPr defaultRowHeight="15" x14ac:dyDescent="0.25"/>
  <cols>
    <col min="1" max="2" width="28.5703125" customWidth="1"/>
    <col min="3" max="3" width="34.28515625" customWidth="1"/>
    <col min="4" max="4" width="15.28515625" customWidth="1"/>
    <col min="5" max="5" width="57.140625" style="19" customWidth="1"/>
    <col min="6" max="6" width="47.5703125" style="19" customWidth="1"/>
  </cols>
  <sheetData>
    <row r="1" spans="1:6" x14ac:dyDescent="0.25">
      <c r="A1" s="29" t="s">
        <v>121</v>
      </c>
      <c r="B1" s="29" t="s">
        <v>168</v>
      </c>
      <c r="C1" s="29" t="s">
        <v>120</v>
      </c>
      <c r="D1" s="29" t="s">
        <v>119</v>
      </c>
      <c r="E1" s="28" t="s">
        <v>118</v>
      </c>
      <c r="F1" s="28" t="s">
        <v>117</v>
      </c>
    </row>
    <row r="2" spans="1:6" ht="30" x14ac:dyDescent="0.25">
      <c r="A2" s="27" t="s">
        <v>101</v>
      </c>
      <c r="B2" s="84" t="s">
        <v>169</v>
      </c>
      <c r="C2" s="27" t="s">
        <v>116</v>
      </c>
      <c r="D2" s="27" t="s">
        <v>81</v>
      </c>
      <c r="E2" s="26" t="s">
        <v>115</v>
      </c>
      <c r="F2" s="26" t="s">
        <v>29</v>
      </c>
    </row>
    <row r="3" spans="1:6" ht="30" x14ac:dyDescent="0.25">
      <c r="A3" s="27" t="s">
        <v>101</v>
      </c>
      <c r="B3" s="82"/>
      <c r="C3" s="27" t="s">
        <v>58</v>
      </c>
      <c r="D3" s="27" t="s">
        <v>81</v>
      </c>
      <c r="E3" s="26" t="s">
        <v>114</v>
      </c>
      <c r="F3" s="26" t="s">
        <v>30</v>
      </c>
    </row>
    <row r="4" spans="1:6" ht="30" x14ac:dyDescent="0.25">
      <c r="A4" s="27" t="s">
        <v>101</v>
      </c>
      <c r="B4" s="82"/>
      <c r="C4" s="27" t="s">
        <v>59</v>
      </c>
      <c r="D4" s="27" t="s">
        <v>81</v>
      </c>
      <c r="E4" s="26" t="s">
        <v>113</v>
      </c>
      <c r="F4" s="26" t="s">
        <v>31</v>
      </c>
    </row>
    <row r="5" spans="1:6" x14ac:dyDescent="0.25">
      <c r="A5" s="27" t="s">
        <v>101</v>
      </c>
      <c r="B5" s="82"/>
      <c r="C5" s="27" t="s">
        <v>161</v>
      </c>
      <c r="D5" s="27" t="s">
        <v>81</v>
      </c>
      <c r="E5" s="64" t="s">
        <v>162</v>
      </c>
      <c r="F5" s="26"/>
    </row>
    <row r="6" spans="1:6" x14ac:dyDescent="0.25">
      <c r="A6" s="27" t="s">
        <v>101</v>
      </c>
      <c r="B6" s="82"/>
      <c r="C6" s="27" t="s">
        <v>112</v>
      </c>
      <c r="D6" s="27" t="s">
        <v>81</v>
      </c>
      <c r="E6" s="26" t="s">
        <v>111</v>
      </c>
      <c r="F6" s="26" t="s">
        <v>110</v>
      </c>
    </row>
    <row r="7" spans="1:6" x14ac:dyDescent="0.25">
      <c r="A7" s="27" t="s">
        <v>101</v>
      </c>
      <c r="B7" s="82"/>
      <c r="C7" s="27" t="s">
        <v>109</v>
      </c>
      <c r="D7" s="27" t="s">
        <v>108</v>
      </c>
      <c r="E7" s="26" t="s">
        <v>107</v>
      </c>
      <c r="F7" s="26" t="s">
        <v>106</v>
      </c>
    </row>
    <row r="8" spans="1:6" x14ac:dyDescent="0.25">
      <c r="A8" s="27" t="s">
        <v>101</v>
      </c>
      <c r="B8" s="82"/>
      <c r="C8" s="78" t="s">
        <v>105</v>
      </c>
      <c r="D8" s="27" t="s">
        <v>87</v>
      </c>
      <c r="E8" s="26" t="s">
        <v>104</v>
      </c>
      <c r="F8" s="26" t="s">
        <v>125</v>
      </c>
    </row>
    <row r="9" spans="1:6" ht="30" x14ac:dyDescent="0.25">
      <c r="A9" s="27" t="s">
        <v>101</v>
      </c>
      <c r="B9" s="82"/>
      <c r="C9" s="78" t="s">
        <v>103</v>
      </c>
      <c r="D9" s="27" t="s">
        <v>87</v>
      </c>
      <c r="E9" s="26" t="s">
        <v>102</v>
      </c>
      <c r="F9" s="26" t="s">
        <v>126</v>
      </c>
    </row>
    <row r="10" spans="1:6" ht="30" x14ac:dyDescent="0.25">
      <c r="A10" s="27" t="s">
        <v>101</v>
      </c>
      <c r="B10" s="83"/>
      <c r="C10" s="78" t="s">
        <v>100</v>
      </c>
      <c r="D10" s="27" t="s">
        <v>87</v>
      </c>
      <c r="E10" s="26" t="s">
        <v>99</v>
      </c>
      <c r="F10" s="26" t="s">
        <v>127</v>
      </c>
    </row>
    <row r="11" spans="1:6" ht="60" x14ac:dyDescent="0.25">
      <c r="A11" s="25" t="s">
        <v>94</v>
      </c>
      <c r="B11" s="85" t="s">
        <v>170</v>
      </c>
      <c r="C11" s="25" t="s">
        <v>60</v>
      </c>
      <c r="D11" s="25" t="s">
        <v>81</v>
      </c>
      <c r="E11" s="24" t="s">
        <v>98</v>
      </c>
      <c r="F11" s="24" t="s">
        <v>32</v>
      </c>
    </row>
    <row r="12" spans="1:6" ht="60" x14ac:dyDescent="0.25">
      <c r="A12" s="25" t="s">
        <v>94</v>
      </c>
      <c r="B12" s="86"/>
      <c r="C12" s="25" t="s">
        <v>63</v>
      </c>
      <c r="D12" s="25" t="s">
        <v>81</v>
      </c>
      <c r="E12" s="24" t="s">
        <v>98</v>
      </c>
      <c r="F12" s="24" t="s">
        <v>33</v>
      </c>
    </row>
    <row r="13" spans="1:6" ht="30" x14ac:dyDescent="0.25">
      <c r="A13" s="25" t="s">
        <v>94</v>
      </c>
      <c r="B13" s="86"/>
      <c r="C13" s="25" t="s">
        <v>65</v>
      </c>
      <c r="D13" s="25" t="s">
        <v>81</v>
      </c>
      <c r="E13" s="24" t="s">
        <v>98</v>
      </c>
      <c r="F13" s="24" t="s">
        <v>34</v>
      </c>
    </row>
    <row r="14" spans="1:6" ht="30" x14ac:dyDescent="0.25">
      <c r="A14" s="25" t="s">
        <v>94</v>
      </c>
      <c r="B14" s="86"/>
      <c r="C14" s="25" t="s">
        <v>97</v>
      </c>
      <c r="D14" s="25" t="s">
        <v>87</v>
      </c>
      <c r="E14" s="24" t="s">
        <v>96</v>
      </c>
      <c r="F14" s="24" t="s">
        <v>128</v>
      </c>
    </row>
    <row r="15" spans="1:6" x14ac:dyDescent="0.25">
      <c r="A15" s="25" t="s">
        <v>94</v>
      </c>
      <c r="B15" s="86"/>
      <c r="C15" s="25" t="s">
        <v>67</v>
      </c>
      <c r="D15" s="25" t="s">
        <v>81</v>
      </c>
      <c r="E15" s="24" t="s">
        <v>95</v>
      </c>
      <c r="F15" s="24" t="s">
        <v>35</v>
      </c>
    </row>
    <row r="16" spans="1:6" x14ac:dyDescent="0.25">
      <c r="A16" s="25" t="s">
        <v>94</v>
      </c>
      <c r="B16" s="87"/>
      <c r="C16" s="79" t="s">
        <v>93</v>
      </c>
      <c r="D16" s="25" t="s">
        <v>87</v>
      </c>
      <c r="E16" s="24" t="s">
        <v>92</v>
      </c>
      <c r="F16" s="24" t="s">
        <v>85</v>
      </c>
    </row>
    <row r="17" spans="1:6" ht="30" x14ac:dyDescent="0.25">
      <c r="A17" s="23" t="s">
        <v>83</v>
      </c>
      <c r="B17" s="88" t="s">
        <v>171</v>
      </c>
      <c r="C17" s="80" t="s">
        <v>91</v>
      </c>
      <c r="D17" s="23" t="s">
        <v>87</v>
      </c>
      <c r="E17" s="22" t="s">
        <v>90</v>
      </c>
      <c r="F17" s="22" t="s">
        <v>129</v>
      </c>
    </row>
    <row r="18" spans="1:6" x14ac:dyDescent="0.25">
      <c r="A18" s="23" t="s">
        <v>83</v>
      </c>
      <c r="B18" s="89"/>
      <c r="C18" s="23" t="s">
        <v>89</v>
      </c>
      <c r="D18" s="23" t="s">
        <v>81</v>
      </c>
      <c r="E18" s="22" t="s">
        <v>80</v>
      </c>
      <c r="F18" s="22" t="s">
        <v>130</v>
      </c>
    </row>
    <row r="19" spans="1:6" ht="30" x14ac:dyDescent="0.25">
      <c r="A19" s="23" t="s">
        <v>83</v>
      </c>
      <c r="B19" s="89"/>
      <c r="C19" s="80" t="s">
        <v>88</v>
      </c>
      <c r="D19" s="23" t="s">
        <v>87</v>
      </c>
      <c r="E19" s="22" t="s">
        <v>86</v>
      </c>
      <c r="F19" s="22" t="s">
        <v>131</v>
      </c>
    </row>
    <row r="20" spans="1:6" x14ac:dyDescent="0.25">
      <c r="A20" s="23" t="s">
        <v>83</v>
      </c>
      <c r="B20" s="89"/>
      <c r="C20" s="23" t="s">
        <v>84</v>
      </c>
      <c r="D20" s="23" t="s">
        <v>81</v>
      </c>
      <c r="E20" s="22" t="s">
        <v>80</v>
      </c>
      <c r="F20" s="22" t="s">
        <v>132</v>
      </c>
    </row>
    <row r="21" spans="1:6" x14ac:dyDescent="0.25">
      <c r="A21" s="23" t="s">
        <v>83</v>
      </c>
      <c r="B21" s="89"/>
      <c r="C21" s="23" t="s">
        <v>70</v>
      </c>
      <c r="D21" s="23" t="s">
        <v>81</v>
      </c>
      <c r="E21" s="22" t="s">
        <v>80</v>
      </c>
      <c r="F21" s="22" t="s">
        <v>36</v>
      </c>
    </row>
    <row r="22" spans="1:6" x14ac:dyDescent="0.25">
      <c r="A22" s="23" t="s">
        <v>83</v>
      </c>
      <c r="B22" s="89"/>
      <c r="C22" s="23" t="s">
        <v>72</v>
      </c>
      <c r="D22" s="23" t="s">
        <v>81</v>
      </c>
      <c r="E22" s="22" t="s">
        <v>80</v>
      </c>
      <c r="F22" s="22" t="s">
        <v>37</v>
      </c>
    </row>
    <row r="23" spans="1:6" x14ac:dyDescent="0.25">
      <c r="A23" s="23" t="s">
        <v>83</v>
      </c>
      <c r="B23" s="90"/>
      <c r="C23" s="23" t="s">
        <v>82</v>
      </c>
      <c r="D23" s="23" t="s">
        <v>81</v>
      </c>
      <c r="E23" s="22" t="s">
        <v>80</v>
      </c>
      <c r="F23" s="22" t="s">
        <v>38</v>
      </c>
    </row>
    <row r="24" spans="1:6" ht="30" x14ac:dyDescent="0.25">
      <c r="A24" s="21" t="s">
        <v>75</v>
      </c>
      <c r="B24" s="91" t="s">
        <v>171</v>
      </c>
      <c r="C24" s="21" t="s">
        <v>79</v>
      </c>
      <c r="D24" s="21"/>
      <c r="E24" s="20" t="s">
        <v>78</v>
      </c>
      <c r="F24" s="20" t="s">
        <v>133</v>
      </c>
    </row>
    <row r="25" spans="1:6" ht="30" x14ac:dyDescent="0.25">
      <c r="A25" s="21" t="s">
        <v>75</v>
      </c>
      <c r="B25" s="92"/>
      <c r="C25" s="21" t="s">
        <v>77</v>
      </c>
      <c r="D25" s="21"/>
      <c r="E25" s="20" t="s">
        <v>76</v>
      </c>
      <c r="F25" s="20" t="s">
        <v>134</v>
      </c>
    </row>
    <row r="26" spans="1:6" x14ac:dyDescent="0.25">
      <c r="A26" s="21" t="s">
        <v>75</v>
      </c>
      <c r="B26" s="93"/>
      <c r="C26" s="21" t="s">
        <v>135</v>
      </c>
      <c r="D26" s="21" t="s">
        <v>136</v>
      </c>
      <c r="E26" s="21" t="s">
        <v>137</v>
      </c>
      <c r="F26" s="21" t="s">
        <v>138</v>
      </c>
    </row>
    <row r="27" spans="1:6" s="1" customFormat="1" ht="105" x14ac:dyDescent="0.25">
      <c r="A27" s="44" t="s">
        <v>140</v>
      </c>
      <c r="B27" s="44"/>
      <c r="C27" s="45" t="s">
        <v>141</v>
      </c>
      <c r="D27" s="44" t="s">
        <v>142</v>
      </c>
      <c r="E27" s="45" t="s">
        <v>143</v>
      </c>
      <c r="F27" s="45" t="s">
        <v>166</v>
      </c>
    </row>
    <row r="28" spans="1:6" ht="30" x14ac:dyDescent="0.25">
      <c r="A28" s="61" t="s">
        <v>154</v>
      </c>
      <c r="B28" s="61"/>
      <c r="C28" s="61"/>
      <c r="D28" s="61"/>
      <c r="E28" s="62" t="s">
        <v>155</v>
      </c>
      <c r="F28" s="62"/>
    </row>
    <row r="29" spans="1:6" x14ac:dyDescent="0.25">
      <c r="A29" s="61" t="s">
        <v>167</v>
      </c>
      <c r="B29" s="61"/>
      <c r="C29" s="61"/>
      <c r="D29" s="61"/>
      <c r="E29" s="81">
        <v>6.0999999999999999E-2</v>
      </c>
      <c r="F29" s="62"/>
    </row>
  </sheetData>
  <mergeCells count="4">
    <mergeCell ref="B2:B10"/>
    <mergeCell ref="B11:B16"/>
    <mergeCell ref="B17:B23"/>
    <mergeCell ref="B24:B26"/>
  </mergeCells>
  <hyperlinks>
    <hyperlink ref="E5" r:id="rId1" xr:uid="{56E60654-6BF8-4194-A1D0-5FB2AF7CD33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315A-C3FF-40C8-B9B6-FBDFC213B34A}">
  <dimension ref="A1:C13"/>
  <sheetViews>
    <sheetView workbookViewId="0">
      <selection activeCell="B16" sqref="B16"/>
    </sheetView>
  </sheetViews>
  <sheetFormatPr defaultRowHeight="15" x14ac:dyDescent="0.25"/>
  <cols>
    <col min="1" max="1" width="24.42578125" style="17" customWidth="1"/>
    <col min="2" max="2" width="37.140625" bestFit="1" customWidth="1"/>
    <col min="3" max="3" width="83.28515625" bestFit="1" customWidth="1"/>
  </cols>
  <sheetData>
    <row r="1" spans="1:3" x14ac:dyDescent="0.25">
      <c r="A1" s="43" t="s">
        <v>54</v>
      </c>
      <c r="B1" s="43" t="s">
        <v>55</v>
      </c>
      <c r="C1" s="43" t="s">
        <v>56</v>
      </c>
    </row>
    <row r="2" spans="1:3" x14ac:dyDescent="0.25">
      <c r="A2" s="76" t="s">
        <v>57</v>
      </c>
      <c r="B2">
        <v>1046403930</v>
      </c>
      <c r="C2">
        <v>1046403940</v>
      </c>
    </row>
    <row r="3" spans="1:3" x14ac:dyDescent="0.25">
      <c r="A3" s="76" t="s">
        <v>58</v>
      </c>
      <c r="B3" t="s">
        <v>48</v>
      </c>
      <c r="C3" t="s">
        <v>51</v>
      </c>
    </row>
    <row r="4" spans="1:3" x14ac:dyDescent="0.25">
      <c r="A4" s="76" t="s">
        <v>59</v>
      </c>
      <c r="B4">
        <v>5114881234</v>
      </c>
      <c r="C4">
        <v>5114886789</v>
      </c>
    </row>
    <row r="5" spans="1:3" x14ac:dyDescent="0.25">
      <c r="A5" s="76" t="s">
        <v>165</v>
      </c>
      <c r="B5" s="77" t="s">
        <v>162</v>
      </c>
      <c r="C5" s="77" t="s">
        <v>162</v>
      </c>
    </row>
    <row r="6" spans="1:3" x14ac:dyDescent="0.25">
      <c r="A6" s="76" t="s">
        <v>60</v>
      </c>
      <c r="B6" t="s">
        <v>61</v>
      </c>
      <c r="C6" t="s">
        <v>62</v>
      </c>
    </row>
    <row r="7" spans="1:3" x14ac:dyDescent="0.25">
      <c r="A7" s="76" t="s">
        <v>63</v>
      </c>
      <c r="B7" t="s">
        <v>64</v>
      </c>
      <c r="C7" t="s">
        <v>64</v>
      </c>
    </row>
    <row r="8" spans="1:3" x14ac:dyDescent="0.25">
      <c r="A8" s="76" t="s">
        <v>65</v>
      </c>
      <c r="B8" t="s">
        <v>66</v>
      </c>
      <c r="C8" t="s">
        <v>66</v>
      </c>
    </row>
    <row r="9" spans="1:3" x14ac:dyDescent="0.25">
      <c r="A9" s="76" t="s">
        <v>67</v>
      </c>
      <c r="B9">
        <v>12836</v>
      </c>
      <c r="C9">
        <v>12836</v>
      </c>
    </row>
    <row r="10" spans="1:3" x14ac:dyDescent="0.25">
      <c r="A10" s="76" t="s">
        <v>68</v>
      </c>
      <c r="B10" t="s">
        <v>69</v>
      </c>
      <c r="C10" t="s">
        <v>69</v>
      </c>
    </row>
    <row r="11" spans="1:3" x14ac:dyDescent="0.25">
      <c r="A11" s="76" t="s">
        <v>70</v>
      </c>
      <c r="B11" t="s">
        <v>71</v>
      </c>
      <c r="C11" t="s">
        <v>71</v>
      </c>
    </row>
    <row r="12" spans="1:3" x14ac:dyDescent="0.25">
      <c r="A12" s="76" t="s">
        <v>72</v>
      </c>
      <c r="B12" t="s">
        <v>73</v>
      </c>
      <c r="C12" t="s">
        <v>73</v>
      </c>
    </row>
    <row r="13" spans="1:3" x14ac:dyDescent="0.25">
      <c r="A13" s="76" t="s">
        <v>74</v>
      </c>
      <c r="B13">
        <v>12214</v>
      </c>
      <c r="C13">
        <v>12214</v>
      </c>
    </row>
  </sheetData>
  <hyperlinks>
    <hyperlink ref="B5" r:id="rId1" xr:uid="{DFD8053B-830D-489D-B62B-CB66BB708029}"/>
    <hyperlink ref="C5" r:id="rId2" xr:uid="{2C179C4F-3AB7-4342-8B9F-6F201292E337}"/>
  </hyperlink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E96E-F1A6-4FE5-B6AB-F3650B46CCB4}">
  <dimension ref="A2:O9"/>
  <sheetViews>
    <sheetView workbookViewId="0">
      <selection activeCell="E9" sqref="E9"/>
    </sheetView>
  </sheetViews>
  <sheetFormatPr defaultRowHeight="15" x14ac:dyDescent="0.25"/>
  <cols>
    <col min="1" max="1" width="11.28515625" bestFit="1" customWidth="1"/>
  </cols>
  <sheetData>
    <row r="2" spans="1:15" x14ac:dyDescent="0.25">
      <c r="A2" s="14" t="s">
        <v>39</v>
      </c>
      <c r="B2" s="41" t="s">
        <v>40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5" x14ac:dyDescent="0.25">
      <c r="A3" s="16" t="s">
        <v>41</v>
      </c>
    </row>
    <row r="4" spans="1:15" x14ac:dyDescent="0.25">
      <c r="A4" s="17"/>
    </row>
    <row r="5" spans="1:15" x14ac:dyDescent="0.25">
      <c r="A5" s="14" t="s">
        <v>42</v>
      </c>
      <c r="B5" s="42" t="s">
        <v>122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O5">
        <f>((50000/2)-11000-6300)*240</f>
        <v>1848000</v>
      </c>
    </row>
    <row r="7" spans="1:15" x14ac:dyDescent="0.25">
      <c r="A7" s="14" t="s">
        <v>124</v>
      </c>
      <c r="B7" s="42" t="s">
        <v>123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O7">
        <f>((50000*0.35)-11000-3150)*240</f>
        <v>804000</v>
      </c>
    </row>
    <row r="9" spans="1:15" x14ac:dyDescent="0.25">
      <c r="E9">
        <f>((35650*35%)-8750-(20000*5%))*60</f>
        <v>163650</v>
      </c>
    </row>
  </sheetData>
  <mergeCells count="3">
    <mergeCell ref="B2:N2"/>
    <mergeCell ref="B5:M5"/>
    <mergeCell ref="B7:M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CEFC2-5BBA-4B26-A038-ED00C697D73E}">
  <dimension ref="A1:H11"/>
  <sheetViews>
    <sheetView zoomScale="102" workbookViewId="0">
      <selection activeCell="J8" sqref="J8"/>
    </sheetView>
  </sheetViews>
  <sheetFormatPr defaultRowHeight="15" x14ac:dyDescent="0.25"/>
  <cols>
    <col min="2" max="2" width="32.85546875" bestFit="1" customWidth="1"/>
    <col min="3" max="3" width="25.140625" bestFit="1" customWidth="1"/>
    <col min="4" max="4" width="29.28515625" customWidth="1"/>
    <col min="5" max="5" width="14.85546875" bestFit="1" customWidth="1"/>
  </cols>
  <sheetData>
    <row r="1" spans="1:8" x14ac:dyDescent="0.25">
      <c r="A1" s="55" t="s">
        <v>147</v>
      </c>
      <c r="B1" s="18" t="s">
        <v>43</v>
      </c>
      <c r="C1" s="18" t="s">
        <v>44</v>
      </c>
      <c r="D1" s="18" t="s">
        <v>45</v>
      </c>
      <c r="E1" s="47" t="s">
        <v>144</v>
      </c>
    </row>
    <row r="2" spans="1:8" ht="15.75" x14ac:dyDescent="0.25">
      <c r="A2" s="54">
        <v>1</v>
      </c>
      <c r="B2" s="53" t="s">
        <v>46</v>
      </c>
      <c r="C2" s="13" t="s">
        <v>47</v>
      </c>
      <c r="D2" s="46" t="s">
        <v>48</v>
      </c>
      <c r="E2" s="48" t="s">
        <v>146</v>
      </c>
    </row>
    <row r="3" spans="1:8" ht="15.75" x14ac:dyDescent="0.25">
      <c r="A3" s="54">
        <v>2</v>
      </c>
      <c r="B3" s="53" t="s">
        <v>49</v>
      </c>
      <c r="C3" s="13" t="s">
        <v>50</v>
      </c>
      <c r="D3" s="46" t="s">
        <v>51</v>
      </c>
      <c r="E3" s="48" t="s">
        <v>145</v>
      </c>
    </row>
    <row r="4" spans="1:8" ht="15.75" x14ac:dyDescent="0.25">
      <c r="A4" s="54">
        <v>3</v>
      </c>
      <c r="B4" s="53" t="s">
        <v>52</v>
      </c>
      <c r="C4" s="13" t="s">
        <v>53</v>
      </c>
      <c r="D4" s="46" t="s">
        <v>51</v>
      </c>
      <c r="E4" s="48" t="s">
        <v>145</v>
      </c>
    </row>
    <row r="6" spans="1:8" ht="15.75" x14ac:dyDescent="0.25">
      <c r="B6" s="49"/>
    </row>
    <row r="7" spans="1:8" ht="15.75" thickBot="1" x14ac:dyDescent="0.3"/>
    <row r="8" spans="1:8" ht="75.75" customHeight="1" thickBot="1" x14ac:dyDescent="0.3">
      <c r="C8" s="50" t="s">
        <v>146</v>
      </c>
      <c r="D8" s="51" t="s">
        <v>149</v>
      </c>
      <c r="E8" s="51"/>
      <c r="F8" s="51"/>
      <c r="G8" s="51"/>
      <c r="H8" s="52"/>
    </row>
    <row r="10" spans="1:8" ht="15.75" thickBot="1" x14ac:dyDescent="0.3"/>
    <row r="11" spans="1:8" ht="77.25" customHeight="1" thickBot="1" x14ac:dyDescent="0.3">
      <c r="C11" s="50" t="s">
        <v>148</v>
      </c>
      <c r="D11" s="56" t="s">
        <v>150</v>
      </c>
      <c r="E11" s="56"/>
      <c r="F11" s="56"/>
      <c r="G11" s="56"/>
      <c r="H11" s="57"/>
    </row>
  </sheetData>
  <mergeCells count="2">
    <mergeCell ref="D8:H8"/>
    <mergeCell ref="D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6766-6CBE-4BFF-9D45-58C86E10E600}">
  <dimension ref="A1:L22"/>
  <sheetViews>
    <sheetView workbookViewId="0">
      <selection sqref="A1:XFD6"/>
    </sheetView>
  </sheetViews>
  <sheetFormatPr defaultRowHeight="15" x14ac:dyDescent="0.25"/>
  <cols>
    <col min="1" max="1" width="3.28515625" customWidth="1"/>
    <col min="2" max="2" width="29" style="19" customWidth="1"/>
    <col min="4" max="4" width="20.140625" customWidth="1"/>
    <col min="6" max="6" width="18.42578125" customWidth="1"/>
    <col min="8" max="8" width="29.28515625" customWidth="1"/>
    <col min="10" max="10" width="28.42578125" style="95" customWidth="1"/>
    <col min="12" max="12" width="31.42578125" style="94" bestFit="1" customWidth="1"/>
  </cols>
  <sheetData>
    <row r="1" spans="1:12" ht="15.75" thickBot="1" x14ac:dyDescent="0.3">
      <c r="A1" s="94"/>
      <c r="B1" s="95"/>
      <c r="C1" s="94"/>
      <c r="D1" s="94"/>
      <c r="E1" s="94"/>
      <c r="F1" s="94"/>
      <c r="G1" s="94"/>
      <c r="H1" s="94"/>
      <c r="I1" s="94"/>
    </row>
    <row r="2" spans="1:12" s="15" customFormat="1" x14ac:dyDescent="0.25">
      <c r="A2" s="94"/>
      <c r="B2" s="96" t="s">
        <v>105</v>
      </c>
      <c r="C2" s="94"/>
      <c r="D2" s="96" t="s">
        <v>103</v>
      </c>
      <c r="E2" s="94"/>
      <c r="F2" s="96" t="s">
        <v>100</v>
      </c>
      <c r="G2" s="94"/>
      <c r="H2" s="96" t="s">
        <v>93</v>
      </c>
      <c r="I2" s="94"/>
      <c r="J2" s="96" t="s">
        <v>91</v>
      </c>
      <c r="L2" s="96" t="s">
        <v>88</v>
      </c>
    </row>
    <row r="3" spans="1:12" ht="30" x14ac:dyDescent="0.25">
      <c r="A3" s="94"/>
      <c r="B3" s="97" t="s">
        <v>172</v>
      </c>
      <c r="C3" s="94"/>
      <c r="D3" s="98" t="s">
        <v>184</v>
      </c>
      <c r="E3" s="95"/>
      <c r="F3" s="98">
        <v>0</v>
      </c>
      <c r="G3" s="94"/>
      <c r="H3" s="97" t="s">
        <v>191</v>
      </c>
      <c r="I3" s="94"/>
      <c r="J3" s="97" t="s">
        <v>201</v>
      </c>
      <c r="L3" s="98" t="s">
        <v>216</v>
      </c>
    </row>
    <row r="4" spans="1:12" x14ac:dyDescent="0.25">
      <c r="A4" s="94"/>
      <c r="B4" s="97" t="s">
        <v>173</v>
      </c>
      <c r="C4" s="94"/>
      <c r="D4" s="98" t="s">
        <v>185</v>
      </c>
      <c r="E4" s="94"/>
      <c r="F4" s="98">
        <v>1</v>
      </c>
      <c r="G4" s="94"/>
      <c r="H4" s="97" t="s">
        <v>192</v>
      </c>
      <c r="I4" s="94"/>
      <c r="J4" s="97" t="s">
        <v>202</v>
      </c>
      <c r="L4" s="98" t="s">
        <v>217</v>
      </c>
    </row>
    <row r="5" spans="1:12" ht="30" x14ac:dyDescent="0.25">
      <c r="A5" s="94"/>
      <c r="B5" s="97" t="s">
        <v>174</v>
      </c>
      <c r="C5" s="94"/>
      <c r="D5" s="98" t="s">
        <v>186</v>
      </c>
      <c r="E5" s="94"/>
      <c r="F5" s="98">
        <v>2</v>
      </c>
      <c r="G5" s="94"/>
      <c r="H5" s="97" t="s">
        <v>193</v>
      </c>
      <c r="I5" s="94"/>
      <c r="J5" s="97" t="s">
        <v>203</v>
      </c>
      <c r="L5" s="98" t="s">
        <v>218</v>
      </c>
    </row>
    <row r="6" spans="1:12" ht="30" x14ac:dyDescent="0.25">
      <c r="A6" s="94"/>
      <c r="B6" s="97" t="s">
        <v>175</v>
      </c>
      <c r="C6" s="94"/>
      <c r="D6" s="98" t="s">
        <v>187</v>
      </c>
      <c r="E6" s="94"/>
      <c r="F6" s="98">
        <v>3</v>
      </c>
      <c r="G6" s="94"/>
      <c r="H6" s="97" t="s">
        <v>194</v>
      </c>
      <c r="I6" s="94"/>
      <c r="J6" s="97" t="s">
        <v>204</v>
      </c>
      <c r="L6" s="98" t="s">
        <v>219</v>
      </c>
    </row>
    <row r="7" spans="1:12" ht="30" x14ac:dyDescent="0.25">
      <c r="A7" s="94"/>
      <c r="B7" s="97" t="s">
        <v>176</v>
      </c>
      <c r="C7" s="94"/>
      <c r="D7" s="98" t="s">
        <v>188</v>
      </c>
      <c r="E7" s="94"/>
      <c r="F7" s="98">
        <v>4</v>
      </c>
      <c r="G7" s="94"/>
      <c r="H7" s="97" t="s">
        <v>195</v>
      </c>
      <c r="I7" s="94"/>
      <c r="J7" s="97" t="s">
        <v>205</v>
      </c>
      <c r="L7" s="98" t="s">
        <v>220</v>
      </c>
    </row>
    <row r="8" spans="1:12" ht="30.75" thickBot="1" x14ac:dyDescent="0.3">
      <c r="A8" s="94"/>
      <c r="B8" s="97" t="s">
        <v>177</v>
      </c>
      <c r="C8" s="94"/>
      <c r="D8" s="99" t="s">
        <v>189</v>
      </c>
      <c r="E8" s="94"/>
      <c r="F8" s="98">
        <v>5</v>
      </c>
      <c r="G8" s="94"/>
      <c r="H8" s="97" t="s">
        <v>196</v>
      </c>
      <c r="I8" s="94"/>
      <c r="J8" s="97" t="s">
        <v>206</v>
      </c>
      <c r="L8" s="98" t="s">
        <v>221</v>
      </c>
    </row>
    <row r="9" spans="1:12" ht="15.75" thickBot="1" x14ac:dyDescent="0.3">
      <c r="A9" s="94"/>
      <c r="B9" s="97" t="s">
        <v>178</v>
      </c>
      <c r="C9" s="94"/>
      <c r="D9" s="94"/>
      <c r="E9" s="94"/>
      <c r="F9" s="99" t="s">
        <v>190</v>
      </c>
      <c r="G9" s="94"/>
      <c r="H9" s="97" t="s">
        <v>197</v>
      </c>
      <c r="I9" s="94"/>
      <c r="J9" s="97" t="s">
        <v>207</v>
      </c>
      <c r="L9" s="98" t="s">
        <v>222</v>
      </c>
    </row>
    <row r="10" spans="1:12" ht="30" x14ac:dyDescent="0.25">
      <c r="A10" s="94"/>
      <c r="B10" s="97" t="s">
        <v>179</v>
      </c>
      <c r="C10" s="94"/>
      <c r="D10" s="94"/>
      <c r="E10" s="94"/>
      <c r="F10" s="94"/>
      <c r="G10" s="94"/>
      <c r="H10" s="97" t="s">
        <v>198</v>
      </c>
      <c r="I10" s="94"/>
      <c r="J10" s="97" t="s">
        <v>208</v>
      </c>
      <c r="L10" s="98" t="s">
        <v>139</v>
      </c>
    </row>
    <row r="11" spans="1:12" ht="30" x14ac:dyDescent="0.25">
      <c r="A11" s="94"/>
      <c r="B11" s="97" t="s">
        <v>180</v>
      </c>
      <c r="C11" s="94"/>
      <c r="D11" s="94"/>
      <c r="E11" s="94"/>
      <c r="F11" s="94"/>
      <c r="G11" s="94"/>
      <c r="H11" s="97" t="s">
        <v>199</v>
      </c>
      <c r="I11" s="94"/>
      <c r="J11" s="97" t="s">
        <v>209</v>
      </c>
      <c r="L11" s="98" t="s">
        <v>223</v>
      </c>
    </row>
    <row r="12" spans="1:12" ht="30.75" thickBot="1" x14ac:dyDescent="0.3">
      <c r="A12" s="94"/>
      <c r="B12" s="97" t="s">
        <v>181</v>
      </c>
      <c r="C12" s="94"/>
      <c r="D12" s="94"/>
      <c r="E12" s="94"/>
      <c r="F12" s="94"/>
      <c r="G12" s="94"/>
      <c r="H12" s="100" t="s">
        <v>200</v>
      </c>
      <c r="I12" s="94"/>
      <c r="J12" s="97" t="s">
        <v>210</v>
      </c>
      <c r="L12" s="98" t="s">
        <v>224</v>
      </c>
    </row>
    <row r="13" spans="1:12" ht="30" x14ac:dyDescent="0.25">
      <c r="A13" s="94"/>
      <c r="B13" s="97" t="s">
        <v>182</v>
      </c>
      <c r="C13" s="94"/>
      <c r="D13" s="94"/>
      <c r="E13" s="94"/>
      <c r="F13" s="94"/>
      <c r="G13" s="94"/>
      <c r="H13" s="94"/>
      <c r="I13" s="94"/>
      <c r="J13" s="97" t="s">
        <v>211</v>
      </c>
      <c r="L13" s="98" t="s">
        <v>225</v>
      </c>
    </row>
    <row r="14" spans="1:12" ht="15.75" thickBot="1" x14ac:dyDescent="0.3">
      <c r="A14" s="94"/>
      <c r="B14" s="100" t="s">
        <v>183</v>
      </c>
      <c r="C14" s="94"/>
      <c r="D14" s="94"/>
      <c r="E14" s="94"/>
      <c r="F14" s="94"/>
      <c r="G14" s="94"/>
      <c r="H14" s="94"/>
      <c r="I14" s="94"/>
      <c r="J14" s="97" t="s">
        <v>212</v>
      </c>
      <c r="L14" s="98" t="s">
        <v>226</v>
      </c>
    </row>
    <row r="15" spans="1:12" x14ac:dyDescent="0.25">
      <c r="J15" s="97" t="s">
        <v>213</v>
      </c>
      <c r="L15" s="98" t="s">
        <v>227</v>
      </c>
    </row>
    <row r="16" spans="1:12" x14ac:dyDescent="0.25">
      <c r="J16" s="97" t="s">
        <v>214</v>
      </c>
      <c r="L16" s="98" t="s">
        <v>228</v>
      </c>
    </row>
    <row r="17" spans="10:12" ht="15.75" thickBot="1" x14ac:dyDescent="0.3">
      <c r="J17" s="100" t="s">
        <v>215</v>
      </c>
      <c r="L17" s="98" t="s">
        <v>229</v>
      </c>
    </row>
    <row r="18" spans="10:12" x14ac:dyDescent="0.25">
      <c r="L18" s="98" t="s">
        <v>230</v>
      </c>
    </row>
    <row r="19" spans="10:12" x14ac:dyDescent="0.25">
      <c r="L19" s="98" t="s">
        <v>231</v>
      </c>
    </row>
    <row r="20" spans="10:12" x14ac:dyDescent="0.25">
      <c r="L20" s="98" t="s">
        <v>232</v>
      </c>
    </row>
    <row r="21" spans="10:12" x14ac:dyDescent="0.25">
      <c r="L21" s="98" t="s">
        <v>233</v>
      </c>
    </row>
    <row r="22" spans="10:12" ht="15.75" thickBot="1" x14ac:dyDescent="0.3">
      <c r="L22" s="99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6344-E173-4A43-8F6F-1263220C17F0}">
  <dimension ref="A1"/>
  <sheetViews>
    <sheetView tabSelected="1" workbookViewId="0">
      <selection activeCell="G9" sqref="G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Process Flow</vt:lpstr>
      <vt:lpstr>Field Requirements</vt:lpstr>
      <vt:lpstr>Customer Master</vt:lpstr>
      <vt:lpstr>Formula</vt:lpstr>
      <vt:lpstr>IBAN Master</vt:lpstr>
      <vt:lpstr>Dropdown Values</vt:lpstr>
      <vt:lpstr>Master Data,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Mittal</dc:creator>
  <cp:lastModifiedBy>Rishabh Mittal</cp:lastModifiedBy>
  <dcterms:created xsi:type="dcterms:W3CDTF">2026-05-20T08:20:26Z</dcterms:created>
  <dcterms:modified xsi:type="dcterms:W3CDTF">2026-06-01T08:36:38Z</dcterms:modified>
</cp:coreProperties>
</file>